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Users\DELL\Desktop\"/>
    </mc:Choice>
  </mc:AlternateContent>
  <xr:revisionPtr revIDLastSave="0" documentId="8_{66AEACB6-AF04-4856-BF02-14A87FAF216E}" xr6:coauthVersionLast="47" xr6:coauthVersionMax="47" xr10:uidLastSave="{00000000-0000-0000-0000-000000000000}"/>
  <bookViews>
    <workbookView xWindow="-120" yWindow="-120" windowWidth="20730" windowHeight="11040" xr2:uid="{00000000-000D-0000-FFFF-FFFF00000000}"/>
  </bookViews>
  <sheets>
    <sheet name="Appraisal Form - NETS KHLC" sheetId="8" r:id="rId1"/>
    <sheet name="Sheet1" sheetId="5" r:id="rId2"/>
  </sheets>
  <definedNames>
    <definedName name="_xlnm._FilterDatabase" localSheetId="1" hidden="1">Sheet1!$A$2:$J$2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81" i="8" l="1"/>
  <c r="T82" i="8"/>
  <c r="T83" i="8"/>
  <c r="T84" i="8"/>
  <c r="T85" i="8"/>
  <c r="T80" i="8"/>
  <c r="T70" i="8"/>
  <c r="T71" i="8"/>
  <c r="T72" i="8"/>
  <c r="T69" i="8"/>
  <c r="T59" i="8"/>
  <c r="T60" i="8"/>
  <c r="T61" i="8"/>
  <c r="T58" i="8"/>
  <c r="T48" i="8"/>
  <c r="T49" i="8"/>
  <c r="T50" i="8"/>
  <c r="T47" i="8"/>
  <c r="T37" i="8"/>
  <c r="T38" i="8"/>
  <c r="T39" i="8"/>
  <c r="T36" i="8"/>
  <c r="R86" i="8" l="1"/>
  <c r="P86" i="8"/>
  <c r="H86" i="8"/>
  <c r="X85" i="8"/>
  <c r="X84" i="8"/>
  <c r="V83" i="8"/>
  <c r="X82" i="8"/>
  <c r="V81" i="8"/>
  <c r="V80" i="8"/>
  <c r="R73" i="8"/>
  <c r="P73" i="8"/>
  <c r="H73" i="8"/>
  <c r="V72" i="8"/>
  <c r="V71" i="8"/>
  <c r="X70" i="8"/>
  <c r="X69" i="8"/>
  <c r="R62" i="8"/>
  <c r="P62" i="8"/>
  <c r="H62" i="8"/>
  <c r="X61" i="8"/>
  <c r="X60" i="8"/>
  <c r="X59" i="8"/>
  <c r="X58" i="8"/>
  <c r="R51" i="8"/>
  <c r="P51" i="8"/>
  <c r="H51" i="8"/>
  <c r="X50" i="8"/>
  <c r="V49" i="8"/>
  <c r="X48" i="8"/>
  <c r="V47" i="8"/>
  <c r="R40" i="8"/>
  <c r="P40" i="8"/>
  <c r="H40" i="8"/>
  <c r="V39" i="8"/>
  <c r="X38" i="8"/>
  <c r="X36" i="8"/>
  <c r="N8" i="8"/>
  <c r="H8" i="8"/>
  <c r="F8" i="8"/>
  <c r="X5" i="8"/>
  <c r="N5" i="8"/>
  <c r="H5" i="8"/>
  <c r="V61" i="8" l="1"/>
  <c r="V70" i="8"/>
  <c r="V69" i="8"/>
  <c r="X83" i="8"/>
  <c r="V82" i="8"/>
  <c r="X80" i="8"/>
  <c r="X71" i="8"/>
  <c r="X72" i="8"/>
  <c r="V58" i="8"/>
  <c r="V59" i="8"/>
  <c r="T62" i="8"/>
  <c r="V62" i="8" s="1"/>
  <c r="V50" i="8"/>
  <c r="X47" i="8"/>
  <c r="T51" i="8"/>
  <c r="V51" i="8" s="1"/>
  <c r="X39" i="8"/>
  <c r="T40" i="8"/>
  <c r="V40" i="8" s="1"/>
  <c r="H91" i="8"/>
  <c r="V38" i="8"/>
  <c r="V36" i="8"/>
  <c r="X49" i="8"/>
  <c r="V60" i="8"/>
  <c r="X81" i="8"/>
  <c r="V84" i="8"/>
  <c r="T86" i="8"/>
  <c r="V86" i="8" s="1"/>
  <c r="T73" i="8"/>
  <c r="V73" i="8" s="1"/>
  <c r="V37" i="8"/>
  <c r="V85" i="8"/>
  <c r="X37" i="8"/>
  <c r="V48" i="8"/>
  <c r="V91" i="8" l="1"/>
  <c r="T91" i="8" s="1"/>
  <c r="X91" i="8" s="1"/>
</calcChain>
</file>

<file path=xl/sharedStrings.xml><?xml version="1.0" encoding="utf-8"?>
<sst xmlns="http://schemas.openxmlformats.org/spreadsheetml/2006/main" count="672" uniqueCount="273">
  <si>
    <t>Performance is less than that of a fully proficient employee. Improvement is necessary.</t>
  </si>
  <si>
    <t>Excellent</t>
  </si>
  <si>
    <t>Fully Proficient</t>
  </si>
  <si>
    <t>Employee ID</t>
  </si>
  <si>
    <t>Department</t>
  </si>
  <si>
    <t>Employee Name</t>
  </si>
  <si>
    <t>Employee Designation</t>
  </si>
  <si>
    <t>Grade Level</t>
  </si>
  <si>
    <t>TO</t>
  </si>
  <si>
    <t>APPRAISAL INSTRUCTION</t>
  </si>
  <si>
    <t xml:space="preserve">Please carefully review the employee’s performance during the review period and provide supporting comments and examples for each performance area.  The performance appraisal should indicate the quality of performance and areas which may require further training and professional development.  </t>
  </si>
  <si>
    <t>Singularly Exceptional</t>
  </si>
  <si>
    <t>100% &amp; Above</t>
  </si>
  <si>
    <t>Performance is consistently extraordinary and is sustained at a level well beyond that of even other excellent employees</t>
  </si>
  <si>
    <t>Needs Improvement</t>
  </si>
  <si>
    <t>Not Working Out</t>
  </si>
  <si>
    <t>The performance appraisal form follows the basic principles of effectively evaluating employee performance and is intended to providing employees objective feedback</t>
  </si>
  <si>
    <t>Performance is consistently better than that expected of a fully proficient employee</t>
  </si>
  <si>
    <t>Performance meets the full expectation of an employee for this job classification</t>
  </si>
  <si>
    <t>Performance does not meet the minimum job requirements. Immediate and substantial improvement is necessary. Performance plan required immediately.</t>
  </si>
  <si>
    <t>RATING LEVELS</t>
  </si>
  <si>
    <t>Final Rating %</t>
  </si>
  <si>
    <t>Final Rating Score</t>
  </si>
  <si>
    <t>Emp Rating Score</t>
  </si>
  <si>
    <t>Line Mgr Rating Score</t>
  </si>
  <si>
    <t>Final Rating Category</t>
  </si>
  <si>
    <t>Leadership and accountability</t>
  </si>
  <si>
    <t>Communication and Interpersonal ability</t>
  </si>
  <si>
    <t>Work ethics and attendance</t>
  </si>
  <si>
    <t>Final Appraisal Rating</t>
  </si>
  <si>
    <t>Appraisee's Signature &amp; Date</t>
  </si>
  <si>
    <t>COMMENTS/ AREA OF IMPROVEMENT/ REQUIRED TRAINING</t>
  </si>
  <si>
    <t>COMMENTS/ AREA OF IMPROVEMENT/ TRAINING RECOMMENDATION</t>
  </si>
  <si>
    <t>RECOMMENDATION</t>
  </si>
  <si>
    <t>Line Manager's Signature &amp; Date</t>
  </si>
  <si>
    <t>Employment Date</t>
  </si>
  <si>
    <t>COMPANY'S MISSION</t>
  </si>
  <si>
    <t>Prioritize, organize and plan task. Refrain from making excuses</t>
  </si>
  <si>
    <t>Employee present idea in a clear and concise manner. Maintain Collaborative work relationship</t>
  </si>
  <si>
    <t>Proper handling of confidential information, adherence to company policies and deadlines. Absenteeism and lateness to work</t>
  </si>
  <si>
    <t>Emp. ID</t>
  </si>
  <si>
    <t>EMP NAME</t>
  </si>
  <si>
    <t>GRADE LEVEL</t>
  </si>
  <si>
    <t>EMPLOYMENT DATE</t>
  </si>
  <si>
    <t>DEPT</t>
  </si>
  <si>
    <t>Finance &amp; Accounts</t>
  </si>
  <si>
    <t>Sub Dept</t>
  </si>
  <si>
    <t>Insert Your Emp. Code</t>
  </si>
  <si>
    <t>Weight age</t>
  </si>
  <si>
    <t>Sub Goals/ Activities</t>
  </si>
  <si>
    <t>GOAL 1: Employee and line manager should rate the appraisee's performance between 1 - 5. Final rating will pop automatically</t>
  </si>
  <si>
    <t>Functional Goal/ KPI</t>
  </si>
  <si>
    <t>Achievements</t>
  </si>
  <si>
    <t>Target/ Expectation/ Measurement Parameters</t>
  </si>
  <si>
    <t>GOAL 2: Employee and line manager should rate the appraisee's performance between 1 - 5. Final rating will pop automatically</t>
  </si>
  <si>
    <t>GOAL 3: Employee and line manager should rate the appraisee's performance between 1 - 5. Final rating will pop automatically</t>
  </si>
  <si>
    <t>GOAL 4: Employee and line manager should rate the appraisee's performance between 1 - 5. Final rating will pop automatically</t>
  </si>
  <si>
    <t>GOAL 5: Employee and line manager should rate the appraisee's performance between 1 - 5. Final rating will pop automatically</t>
  </si>
  <si>
    <t>Personality Assessment &amp; Self Development</t>
  </si>
  <si>
    <t>KPI Deployment for team members</t>
  </si>
  <si>
    <t>Self Development</t>
  </si>
  <si>
    <t>Willingly assumes new responsibility. Demonstrate independent actions and resourcefulness</t>
  </si>
  <si>
    <t>Trainings and development programs attended in the year to bring an improvement to the job</t>
  </si>
  <si>
    <t>Ensure Job description &amp; KPI are properly developed as per norm &amp; signed by downline. Take ownership of team's performance mgmnt</t>
  </si>
  <si>
    <t>Initiative and Perseverance</t>
  </si>
  <si>
    <t>HOD/ GM's Signature &amp; Date</t>
  </si>
  <si>
    <t>To be completed by the appraisee only</t>
  </si>
  <si>
    <t>To be completed by the line manager only</t>
  </si>
  <si>
    <t>To be completed by the HOD/ GM only</t>
  </si>
  <si>
    <r>
      <rPr>
        <b/>
        <sz val="10"/>
        <color theme="1"/>
        <rFont val="Pilat Demi"/>
        <family val="2"/>
      </rPr>
      <t>Appraisal Review Period</t>
    </r>
    <r>
      <rPr>
        <b/>
        <sz val="10.5"/>
        <color theme="1"/>
        <rFont val="Pilat Demi"/>
        <family val="2"/>
      </rPr>
      <t xml:space="preserve"> (FROM)</t>
    </r>
  </si>
  <si>
    <t>80% - 99.9%</t>
  </si>
  <si>
    <t>60% - 79.9%</t>
  </si>
  <si>
    <t>40% - 59.9%</t>
  </si>
  <si>
    <t>Less than 40%</t>
  </si>
  <si>
    <t>Company</t>
  </si>
  <si>
    <t>Location</t>
  </si>
  <si>
    <t>ASIEGBU  CHIOMA JOHN</t>
  </si>
  <si>
    <t>SOLOMON GRACE AMARACHI</t>
  </si>
  <si>
    <t>-</t>
  </si>
  <si>
    <t>Fleet</t>
  </si>
  <si>
    <t>Marketing</t>
  </si>
  <si>
    <t>Human Resources</t>
  </si>
  <si>
    <t>Legal</t>
  </si>
  <si>
    <t>Office Assistant</t>
  </si>
  <si>
    <t>Fleet Supervisor NBC</t>
  </si>
  <si>
    <t>Social Media Officer</t>
  </si>
  <si>
    <t>Internal Control</t>
  </si>
  <si>
    <t>NETS</t>
  </si>
  <si>
    <t>KHLC</t>
  </si>
  <si>
    <t>Lagos</t>
  </si>
  <si>
    <t>Ibadan</t>
  </si>
  <si>
    <t>Enugu</t>
  </si>
  <si>
    <t>Kano</t>
  </si>
  <si>
    <t>EMP DESIGNATION</t>
  </si>
  <si>
    <t>EMMANUEL VICTOR OKON</t>
  </si>
  <si>
    <t>ENEANOH MMACHIMEREM UGONNA</t>
  </si>
  <si>
    <t>SAMALI UMORU JAMES</t>
  </si>
  <si>
    <t>BUORO  ABUBAKAR IDRIS</t>
  </si>
  <si>
    <t>SAHEED AKANBI  YUSUF</t>
  </si>
  <si>
    <t>IHEUKWUMERE FRIDAY KELECHI</t>
  </si>
  <si>
    <t>TUMIE JOHNSON EKANMBAKUMO</t>
  </si>
  <si>
    <t>CHIDIMMA MAUREEN UZOUKWU</t>
  </si>
  <si>
    <t>AREMU ABIODUN NAJEEM</t>
  </si>
  <si>
    <t>BABALOLA IMOLEAYO ADELAKUN</t>
  </si>
  <si>
    <t>OLUWASIJIBOMI EBENEZER AKINSOHUN</t>
  </si>
  <si>
    <t>AROTILE ROTIMI SEYI</t>
  </si>
  <si>
    <t>ESTHER VICTOR OBILOR</t>
  </si>
  <si>
    <t>OCHIABUTO CHINONSO SOPHIA</t>
  </si>
  <si>
    <t>KENNEDY CHUKWUDI SALVATION</t>
  </si>
  <si>
    <t>OPEYEMI ISMAILA</t>
  </si>
  <si>
    <t>ADEFEHINTOYE ADEDEJI</t>
  </si>
  <si>
    <t>ODUBIYI OLUWASEUN</t>
  </si>
  <si>
    <t>HELEN AJOKE JOHN</t>
  </si>
  <si>
    <t>AKANBI LATIFAT OMOLADE</t>
  </si>
  <si>
    <t>FATAI ADEBULE</t>
  </si>
  <si>
    <t>DIVINE FAVOUR CHI EGBOMUCHE</t>
  </si>
  <si>
    <t>EGBA STELLA ADUTOMIVIE</t>
  </si>
  <si>
    <t>ISAAC EKPO JAMES</t>
  </si>
  <si>
    <t>KALU GIFT KELECHI</t>
  </si>
  <si>
    <t xml:space="preserve">EKWEALOR OLUCHI UGOCHI </t>
  </si>
  <si>
    <t>ONEBUNNE GINIKA PERPETUS</t>
  </si>
  <si>
    <t>OGUNDIPE FEMI FELIX</t>
  </si>
  <si>
    <t>ANUCHA OLUEBUBE PRECIOUS</t>
  </si>
  <si>
    <t>IBEMERE ONYEKACHI PRECIOUS</t>
  </si>
  <si>
    <t>NWAOHA MICHAEL ONYEKWERE</t>
  </si>
  <si>
    <t>ISHAQ IBRAHIM</t>
  </si>
  <si>
    <t>UMEZURIKE ESTHER CHINAZA</t>
  </si>
  <si>
    <t>APEH BLESSING OJONE</t>
  </si>
  <si>
    <t>ADENIGBA ELIZABETH ADEJUMOKE</t>
  </si>
  <si>
    <t>EDITH ABOSEDE FRIDAY</t>
  </si>
  <si>
    <t>CHIJIOKE DAVID SOMTOCHUKWU</t>
  </si>
  <si>
    <t>IFEANYI GERALD OBINNA</t>
  </si>
  <si>
    <t xml:space="preserve">ABOSEDE AJAYI </t>
  </si>
  <si>
    <t>Oluwatobiloba Olateju</t>
  </si>
  <si>
    <t>Salami Muibat</t>
  </si>
  <si>
    <t>Idowu Aina Victoria</t>
  </si>
  <si>
    <t>Akorede Sandra Bisola</t>
  </si>
  <si>
    <t>Goldy Godfrey</t>
  </si>
  <si>
    <t>Sanusi Hamid Agboworin</t>
  </si>
  <si>
    <t>EMEKA OKORO</t>
  </si>
  <si>
    <t>DAVID MBACHA</t>
  </si>
  <si>
    <t>EMMAH JAMES EKANEM</t>
  </si>
  <si>
    <t>ONYINYECHI NWOYE</t>
  </si>
  <si>
    <t xml:space="preserve">ABIDEEN AJISEGIRI </t>
  </si>
  <si>
    <t>ODO ABUCHI EMEKA</t>
  </si>
  <si>
    <t>Nwodo Julius Chukwujekwu</t>
  </si>
  <si>
    <t>Head of Operations Lagos</t>
  </si>
  <si>
    <t>Regional Head of Operations</t>
  </si>
  <si>
    <t>Fleet Manager Ibadan</t>
  </si>
  <si>
    <t>Fleer Manager Kano</t>
  </si>
  <si>
    <t>Marketing Executive/CSR</t>
  </si>
  <si>
    <t>Facility Manager</t>
  </si>
  <si>
    <t>Accountant</t>
  </si>
  <si>
    <t>Fleet Supervisor Enugu</t>
  </si>
  <si>
    <t>Fleet officer</t>
  </si>
  <si>
    <t>NOC Supervisor</t>
  </si>
  <si>
    <t>Fleet Supervisor Ibadan</t>
  </si>
  <si>
    <t xml:space="preserve">Fleet Supervisor YNV </t>
  </si>
  <si>
    <t>Head of Finance</t>
  </si>
  <si>
    <t>Social Media Executive</t>
  </si>
  <si>
    <t xml:space="preserve">Fuel Tracking Executive </t>
  </si>
  <si>
    <t>Front Desk officer Funmy</t>
  </si>
  <si>
    <t>Fleet Supervisor I H S</t>
  </si>
  <si>
    <t>Fleet Support Wasimi</t>
  </si>
  <si>
    <t>BUS ASSISTANT</t>
  </si>
  <si>
    <t>FLEET SUPERVISOR NBC</t>
  </si>
  <si>
    <t>MECHANIC</t>
  </si>
  <si>
    <t>Head Of Marketing</t>
  </si>
  <si>
    <t>HR EXECUTIVE</t>
  </si>
  <si>
    <t>MARKETING EXECUTIVE</t>
  </si>
  <si>
    <t>HEAD HR</t>
  </si>
  <si>
    <t>Fleet Monitoring Officer NOC</t>
  </si>
  <si>
    <t>FINANCE ANALYST</t>
  </si>
  <si>
    <t>OFFICE ASSISTANT</t>
  </si>
  <si>
    <t>HSE EXECUTIVE</t>
  </si>
  <si>
    <t>FLEET MAINTENANCE OFFICER NORTH</t>
  </si>
  <si>
    <t>FRONT DESK/ Account Support NETS</t>
  </si>
  <si>
    <t>Sales Closer</t>
  </si>
  <si>
    <t>Driver</t>
  </si>
  <si>
    <t>ERP/IT Officer</t>
  </si>
  <si>
    <t>Office Assistance</t>
  </si>
  <si>
    <t>Legal Counsel/EA</t>
  </si>
  <si>
    <t>HR Executive</t>
  </si>
  <si>
    <t>Workshop Manager</t>
  </si>
  <si>
    <t>IC Manager</t>
  </si>
  <si>
    <t>Workshop Staff</t>
  </si>
  <si>
    <t>Mechanic Intern</t>
  </si>
  <si>
    <t>Mechanic</t>
  </si>
  <si>
    <t>March 17th 2025</t>
  </si>
  <si>
    <t>March 24th 2025</t>
  </si>
  <si>
    <t>1st Nov 2025</t>
  </si>
  <si>
    <t>1st Feb 2026</t>
  </si>
  <si>
    <t>4th Feb 2026</t>
  </si>
  <si>
    <t>2nd March 2026</t>
  </si>
  <si>
    <t>South East</t>
  </si>
  <si>
    <t>Benin</t>
  </si>
  <si>
    <t xml:space="preserve">Ogun </t>
  </si>
  <si>
    <t>Admin/HR</t>
  </si>
  <si>
    <t>NOC</t>
  </si>
  <si>
    <t>Workshop</t>
  </si>
  <si>
    <t>MUSA BINTA</t>
  </si>
  <si>
    <t>BANWO IBISOLA YETUNDE</t>
  </si>
  <si>
    <t>LAWAL   OBANLE PROMISE</t>
  </si>
  <si>
    <t>AKINWALE AKINOLA SAMSON</t>
  </si>
  <si>
    <t>BALA BLESSING</t>
  </si>
  <si>
    <t>INIOBONG CHRISTIANA OKOKON</t>
  </si>
  <si>
    <t>OHANEZE IRENE ONYINYECHI</t>
  </si>
  <si>
    <t>BRIDGET OGOCHUKWU AZUIBUIKE</t>
  </si>
  <si>
    <t>CHIOMA BENITA NWANOLU</t>
  </si>
  <si>
    <t>ALEX RITA NWAKAEGO</t>
  </si>
  <si>
    <t>ADEDOKUN KHALEED OLUWATOBILOBA</t>
  </si>
  <si>
    <t>NWANTU FAITH TITUS</t>
  </si>
  <si>
    <t>FAVOUR EZEKIEL OLADAPO</t>
  </si>
  <si>
    <t>FANIYI OLAWALE TOSIN</t>
  </si>
  <si>
    <t>ADEWUYI STEPHEN O</t>
  </si>
  <si>
    <t>TOSIN OLUWOLE ABIOYE</t>
  </si>
  <si>
    <t>OKUNUGA SEYI SAMUEL</t>
  </si>
  <si>
    <t>ADEYEMI HALIMAT ADEDOYIN</t>
  </si>
  <si>
    <t>WILLIAMS AJIBOLA OLUFUNKE</t>
  </si>
  <si>
    <t>RITA OCHUWA OGHAIRO</t>
  </si>
  <si>
    <t>SOLOMON IDOWU MICHAEL</t>
  </si>
  <si>
    <t>SALAUDEEN AZEEZAT ARIKE</t>
  </si>
  <si>
    <t>DEBORAH DENNIS</t>
  </si>
  <si>
    <t>MARY AWOLOLA</t>
  </si>
  <si>
    <t>ADEBANJO MATTHEW</t>
  </si>
  <si>
    <t>GODDAY JAMES EJEGALE</t>
  </si>
  <si>
    <t>JEROME JOY KARLISHA</t>
  </si>
  <si>
    <t>AKANIYENE UDO AKPAN</t>
  </si>
  <si>
    <t>OLAYIWOLA OMOTAYO</t>
  </si>
  <si>
    <t>Joshua Obumneme Nwankwo</t>
  </si>
  <si>
    <t>PRECIOUS MAMAR</t>
  </si>
  <si>
    <t>Admin/Relationship Officer</t>
  </si>
  <si>
    <t>Program Coordinator</t>
  </si>
  <si>
    <t>Supervisor</t>
  </si>
  <si>
    <t>Head of Robotics</t>
  </si>
  <si>
    <t>Skill Up Coordinator</t>
  </si>
  <si>
    <t>Admin Assistant</t>
  </si>
  <si>
    <t>Corper</t>
  </si>
  <si>
    <t>Social Media Officer/Corper</t>
  </si>
  <si>
    <t>Instructor</t>
  </si>
  <si>
    <t>Security</t>
  </si>
  <si>
    <t>SKILLUP Instructor</t>
  </si>
  <si>
    <t>STORE ATTENDANT CBT</t>
  </si>
  <si>
    <t>1st Feberuary 2019</t>
  </si>
  <si>
    <t>25th October 2019</t>
  </si>
  <si>
    <t>1st sep 2022</t>
  </si>
  <si>
    <t>2nd May 2024</t>
  </si>
  <si>
    <t>1st May 2024</t>
  </si>
  <si>
    <t>1st August 2024</t>
  </si>
  <si>
    <t>12th August 2024</t>
  </si>
  <si>
    <t>October 9th 2025</t>
  </si>
  <si>
    <t>5th  Jan 2026</t>
  </si>
  <si>
    <t>June 17th, 2025</t>
  </si>
  <si>
    <t>22nd April 2024</t>
  </si>
  <si>
    <t>1st May 2022</t>
  </si>
  <si>
    <t>31st October, 2022</t>
  </si>
  <si>
    <t>3rd May 2023</t>
  </si>
  <si>
    <t>8th May 2024</t>
  </si>
  <si>
    <t>18th April 2024</t>
  </si>
  <si>
    <t>30th September 2024</t>
  </si>
  <si>
    <t>1st September 2024</t>
  </si>
  <si>
    <t>17th September 2024</t>
  </si>
  <si>
    <t>23rd September 2024</t>
  </si>
  <si>
    <t>May 12th 2025</t>
  </si>
  <si>
    <t>August 1st, 2025</t>
  </si>
  <si>
    <t>September 15th, 2025</t>
  </si>
  <si>
    <t>6th October 2025</t>
  </si>
  <si>
    <t>13th October 2025</t>
  </si>
  <si>
    <t>1st  Nov 2025</t>
  </si>
  <si>
    <t>12th January 2026</t>
  </si>
  <si>
    <t>4th March 2026</t>
  </si>
  <si>
    <t>KHLC/Skillup</t>
  </si>
  <si>
    <t>Employee Performance Appraisal Form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</si>
</sst>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_-;\-* #,##0.00_-;_-* &quot;-&quot;??_-;_-@_-"/>
    <numFmt numFmtId="165" formatCode="0.0%"/>
    <numFmt numFmtId="166" formatCode="[$-809]dd\ mmmm\ yyyy;@"/>
    <numFmt numFmtId="167" formatCode="[$-409]d/mmm/yy;@"/>
    <numFmt numFmtId="168" formatCode="_(* #,##0.0_);_(* \(#,##0.0\);_(* &quot;-&quot;??_);_(@_)"/>
    <numFmt numFmtId="169" formatCode="_(* #,##0_);_(* \(#,##0\);_(* &quot;-&quot;??_);_(@_)"/>
  </numFmts>
  <fonts count="40">
    <font>
      <sz val="11"/>
      <color theme="1"/>
      <name val="Calibri"/>
      <family val="2"/>
      <scheme val="minor"/>
    </font>
    <font>
      <sz val="11"/>
      <color theme="1"/>
      <name val="Calibri"/>
      <family val="2"/>
      <scheme val="minor"/>
    </font>
    <font>
      <sz val="11"/>
      <color theme="0"/>
      <name val="Calibri"/>
      <family val="2"/>
      <scheme val="minor"/>
    </font>
    <font>
      <sz val="11"/>
      <color theme="1"/>
      <name val="Arial"/>
      <family val="2"/>
    </font>
    <font>
      <sz val="10"/>
      <name val="Arial"/>
      <family val="2"/>
    </font>
    <font>
      <sz val="10"/>
      <color theme="1"/>
      <name val="Arial"/>
      <family val="2"/>
    </font>
    <font>
      <sz val="11"/>
      <color theme="1"/>
      <name val="Pilat Demi"/>
      <family val="2"/>
    </font>
    <font>
      <b/>
      <sz val="11"/>
      <color theme="1"/>
      <name val="Pilat Demi"/>
      <family val="2"/>
    </font>
    <font>
      <b/>
      <sz val="12"/>
      <color theme="0"/>
      <name val="Pilat Demi"/>
      <family val="2"/>
    </font>
    <font>
      <sz val="12"/>
      <color theme="1"/>
      <name val="Pilat Demi"/>
      <family val="2"/>
    </font>
    <font>
      <b/>
      <sz val="10"/>
      <color theme="1"/>
      <name val="Pilat Demi"/>
      <family val="2"/>
    </font>
    <font>
      <sz val="10"/>
      <color theme="1"/>
      <name val="Pilat Demi"/>
      <family val="2"/>
    </font>
    <font>
      <sz val="9"/>
      <name val="Pilat Demi"/>
      <family val="2"/>
    </font>
    <font>
      <b/>
      <sz val="9"/>
      <name val="Pilat Demi"/>
      <family val="2"/>
    </font>
    <font>
      <sz val="10"/>
      <name val="Pilat Demi"/>
      <family val="2"/>
    </font>
    <font>
      <b/>
      <sz val="10"/>
      <name val="Pilat Demi"/>
      <family val="2"/>
    </font>
    <font>
      <b/>
      <sz val="9"/>
      <color theme="1"/>
      <name val="Pilat Demi"/>
      <family val="2"/>
    </font>
    <font>
      <sz val="11"/>
      <color theme="1"/>
      <name val="Pilat Light"/>
      <family val="2"/>
    </font>
    <font>
      <b/>
      <sz val="10"/>
      <color theme="1"/>
      <name val="Pilat Light"/>
      <family val="2"/>
    </font>
    <font>
      <b/>
      <sz val="10"/>
      <color theme="0"/>
      <name val="Pilat Light"/>
      <family val="2"/>
    </font>
    <font>
      <sz val="10"/>
      <color theme="1"/>
      <name val="Pilat Light"/>
      <family val="2"/>
    </font>
    <font>
      <sz val="9"/>
      <name val="Pilat Light"/>
      <family val="2"/>
    </font>
    <font>
      <b/>
      <sz val="9"/>
      <name val="Pilat Light"/>
      <family val="2"/>
    </font>
    <font>
      <sz val="10"/>
      <name val="Pilat Light"/>
      <family val="2"/>
    </font>
    <font>
      <b/>
      <sz val="10"/>
      <name val="Pilat Light"/>
      <family val="2"/>
    </font>
    <font>
      <b/>
      <sz val="28"/>
      <color theme="0"/>
      <name val="Pilat Wide Heavy"/>
      <family val="2"/>
    </font>
    <font>
      <b/>
      <sz val="11"/>
      <color theme="0"/>
      <name val="Pilat Demi"/>
      <family val="2"/>
    </font>
    <font>
      <b/>
      <sz val="11.5"/>
      <color theme="0"/>
      <name val="Pilat Demi"/>
      <family val="2"/>
    </font>
    <font>
      <b/>
      <sz val="10.5"/>
      <color theme="1"/>
      <name val="Pilat Demi"/>
      <family val="2"/>
    </font>
    <font>
      <b/>
      <sz val="10"/>
      <color theme="1"/>
      <name val="Pilat Wide Heavy"/>
      <family val="2"/>
    </font>
    <font>
      <b/>
      <sz val="12"/>
      <color theme="1"/>
      <name val="Pilat Demi"/>
      <family val="2"/>
    </font>
    <font>
      <b/>
      <sz val="12"/>
      <name val="Pilat Demi"/>
      <family val="2"/>
    </font>
    <font>
      <b/>
      <sz val="8"/>
      <name val="Pilat Demi"/>
      <family val="2"/>
    </font>
    <font>
      <sz val="10.5"/>
      <color theme="1"/>
      <name val="Pilat Light"/>
      <family val="2"/>
    </font>
    <font>
      <b/>
      <sz val="8"/>
      <color theme="1"/>
      <name val="Pilat Wide Heavy"/>
      <family val="2"/>
    </font>
    <font>
      <sz val="11"/>
      <color theme="1"/>
      <name val="Calibri"/>
      <family val="2"/>
      <charset val="1"/>
      <scheme val="minor"/>
    </font>
    <font>
      <sz val="9"/>
      <color rgb="FF000000"/>
      <name val="Pilat Light"/>
      <family val="2"/>
    </font>
    <font>
      <sz val="12"/>
      <color theme="1"/>
      <name val="Calibri"/>
      <family val="2"/>
      <scheme val="minor"/>
    </font>
    <font>
      <b/>
      <sz val="11"/>
      <color theme="1"/>
      <name val="Calibri"/>
      <family val="2"/>
      <scheme val="minor"/>
    </font>
    <font>
      <sz val="11"/>
      <color rgb="FF000000"/>
      <name val="Calibri"/>
      <family val="2"/>
      <scheme val="minor"/>
    </font>
  </fonts>
  <fills count="7">
    <fill>
      <patternFill patternType="none"/>
    </fill>
    <fill>
      <patternFill patternType="gray125"/>
    </fill>
    <fill>
      <patternFill patternType="solid">
        <fgColor theme="8"/>
      </patternFill>
    </fill>
    <fill>
      <patternFill patternType="solid">
        <fgColor theme="8" tint="-0.499984740745262"/>
        <bgColor indexed="64"/>
      </patternFill>
    </fill>
    <fill>
      <patternFill patternType="solid">
        <fgColor theme="8" tint="0.59999389629810485"/>
        <bgColor indexed="64"/>
      </patternFill>
    </fill>
    <fill>
      <patternFill patternType="solid">
        <fgColor rgb="FF0070C0"/>
        <bgColor indexed="64"/>
      </patternFill>
    </fill>
    <fill>
      <patternFill patternType="solid">
        <fgColor theme="0"/>
        <bgColor indexed="64"/>
      </patternFill>
    </fill>
  </fills>
  <borders count="48">
    <border>
      <left/>
      <right/>
      <top/>
      <bottom/>
      <diagonal/>
    </border>
    <border>
      <left style="medium">
        <color theme="8" tint="-0.499984740745262"/>
      </left>
      <right/>
      <top style="medium">
        <color theme="8" tint="-0.499984740745262"/>
      </top>
      <bottom/>
      <diagonal/>
    </border>
    <border>
      <left/>
      <right/>
      <top style="medium">
        <color theme="8" tint="-0.499984740745262"/>
      </top>
      <bottom/>
      <diagonal/>
    </border>
    <border>
      <left/>
      <right style="medium">
        <color theme="8" tint="-0.499984740745262"/>
      </right>
      <top style="medium">
        <color theme="8" tint="-0.499984740745262"/>
      </top>
      <bottom/>
      <diagonal/>
    </border>
    <border>
      <left style="medium">
        <color theme="8" tint="-0.499984740745262"/>
      </left>
      <right/>
      <top/>
      <bottom/>
      <diagonal/>
    </border>
    <border>
      <left/>
      <right style="medium">
        <color theme="8" tint="-0.499984740745262"/>
      </right>
      <top/>
      <bottom/>
      <diagonal/>
    </border>
    <border>
      <left style="medium">
        <color theme="8" tint="-0.499984740745262"/>
      </left>
      <right/>
      <top/>
      <bottom style="medium">
        <color theme="8" tint="-0.499984740745262"/>
      </bottom>
      <diagonal/>
    </border>
    <border>
      <left/>
      <right/>
      <top/>
      <bottom style="medium">
        <color theme="8" tint="-0.499984740745262"/>
      </bottom>
      <diagonal/>
    </border>
    <border>
      <left/>
      <right style="medium">
        <color theme="8" tint="-0.499984740745262"/>
      </right>
      <top/>
      <bottom style="medium">
        <color theme="8" tint="-0.499984740745262"/>
      </bottom>
      <diagonal/>
    </border>
    <border>
      <left style="medium">
        <color theme="8" tint="-0.499984740745262"/>
      </left>
      <right/>
      <top style="medium">
        <color theme="8" tint="-0.499984740745262"/>
      </top>
      <bottom style="medium">
        <color theme="8" tint="-0.499984740745262"/>
      </bottom>
      <diagonal/>
    </border>
    <border>
      <left/>
      <right/>
      <top style="medium">
        <color theme="8" tint="-0.499984740745262"/>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right style="medium">
        <color theme="8" tint="-0.499984740745262"/>
      </right>
      <top style="thin">
        <color theme="8" tint="-0.499984740745262"/>
      </top>
      <bottom style="thin">
        <color theme="8" tint="-0.499984740745262"/>
      </bottom>
      <diagonal/>
    </border>
    <border>
      <left/>
      <right/>
      <top style="thin">
        <color theme="8" tint="-0.499984740745262"/>
      </top>
      <bottom style="thin">
        <color theme="8"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theme="8" tint="-0.499984740745262"/>
      </top>
      <bottom style="thin">
        <color theme="8" tint="-0.499984740745262"/>
      </bottom>
      <diagonal/>
    </border>
    <border>
      <left/>
      <right style="medium">
        <color theme="8" tint="-0.499984740745262"/>
      </right>
      <top style="medium">
        <color theme="8" tint="-0.499984740745262"/>
      </top>
      <bottom style="thin">
        <color theme="8" tint="-0.499984740745262"/>
      </bottom>
      <diagonal/>
    </border>
    <border>
      <left/>
      <right/>
      <top/>
      <bottom style="thin">
        <color theme="8" tint="-0.499984740745262"/>
      </bottom>
      <diagonal/>
    </border>
    <border>
      <left style="medium">
        <color theme="1" tint="4.9989318521683403E-2"/>
      </left>
      <right/>
      <top style="medium">
        <color theme="1" tint="4.9989318521683403E-2"/>
      </top>
      <bottom style="double">
        <color theme="1" tint="4.9989318521683403E-2"/>
      </bottom>
      <diagonal/>
    </border>
    <border>
      <left/>
      <right/>
      <top style="medium">
        <color theme="1" tint="4.9989318521683403E-2"/>
      </top>
      <bottom/>
      <diagonal/>
    </border>
    <border>
      <left/>
      <right style="medium">
        <color theme="1" tint="4.9989318521683403E-2"/>
      </right>
      <top style="medium">
        <color theme="1" tint="4.9989318521683403E-2"/>
      </top>
      <bottom/>
      <diagonal/>
    </border>
    <border>
      <left style="medium">
        <color theme="1" tint="4.9989318521683403E-2"/>
      </left>
      <right/>
      <top/>
      <bottom/>
      <diagonal/>
    </border>
    <border>
      <left/>
      <right style="medium">
        <color theme="1" tint="4.9989318521683403E-2"/>
      </right>
      <top/>
      <bottom/>
      <diagonal/>
    </border>
    <border>
      <left style="medium">
        <color theme="1" tint="4.9989318521683403E-2"/>
      </left>
      <right/>
      <top/>
      <bottom style="medium">
        <color theme="1" tint="4.9989318521683403E-2"/>
      </bottom>
      <diagonal/>
    </border>
    <border>
      <left/>
      <right/>
      <top/>
      <bottom style="medium">
        <color theme="1" tint="4.9989318521683403E-2"/>
      </bottom>
      <diagonal/>
    </border>
    <border>
      <left/>
      <right style="medium">
        <color theme="1" tint="4.9989318521683403E-2"/>
      </right>
      <top/>
      <bottom style="medium">
        <color theme="1" tint="4.9989318521683403E-2"/>
      </bottom>
      <diagonal/>
    </border>
    <border>
      <left style="medium">
        <color theme="1" tint="4.9989318521683403E-2"/>
      </left>
      <right/>
      <top style="medium">
        <color theme="1" tint="4.9989318521683403E-2"/>
      </top>
      <bottom/>
      <diagonal/>
    </border>
    <border>
      <left/>
      <right style="medium">
        <color theme="8" tint="-0.499984740745262"/>
      </right>
      <top style="medium">
        <color theme="1" tint="4.9989318521683403E-2"/>
      </top>
      <bottom/>
      <diagonal/>
    </border>
    <border>
      <left/>
      <right/>
      <top style="medium">
        <color theme="1" tint="4.9989318521683403E-2"/>
      </top>
      <bottom style="medium">
        <color theme="8" tint="-0.499984740745262"/>
      </bottom>
      <diagonal/>
    </border>
    <border>
      <left/>
      <right style="medium">
        <color theme="1" tint="4.9989318521683403E-2"/>
      </right>
      <top style="medium">
        <color theme="1" tint="4.9989318521683403E-2"/>
      </top>
      <bottom style="medium">
        <color theme="8" tint="-0.499984740745262"/>
      </bottom>
      <diagonal/>
    </border>
    <border>
      <left style="medium">
        <color theme="1" tint="4.9989318521683403E-2"/>
      </left>
      <right/>
      <top style="medium">
        <color theme="8" tint="-0.499984740745262"/>
      </top>
      <bottom/>
      <diagonal/>
    </border>
    <border>
      <left/>
      <right style="medium">
        <color theme="1" tint="4.9989318521683403E-2"/>
      </right>
      <top style="medium">
        <color theme="8" tint="-0.499984740745262"/>
      </top>
      <bottom style="thin">
        <color theme="8" tint="-0.499984740745262"/>
      </bottom>
      <diagonal/>
    </border>
    <border>
      <left/>
      <right style="medium">
        <color theme="1" tint="4.9989318521683403E-2"/>
      </right>
      <top style="thin">
        <color theme="8" tint="-0.499984740745262"/>
      </top>
      <bottom style="thin">
        <color theme="8" tint="-0.499984740745262"/>
      </bottom>
      <diagonal/>
    </border>
    <border>
      <left/>
      <right style="medium">
        <color theme="8" tint="-0.499984740745262"/>
      </right>
      <top/>
      <bottom style="medium">
        <color theme="1" tint="4.9989318521683403E-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7">
    <xf numFmtId="0" fontId="0" fillId="0" borderId="0"/>
    <xf numFmtId="9" fontId="1" fillId="0" borderId="0" applyFont="0" applyFill="0" applyBorder="0" applyAlignment="0" applyProtection="0"/>
    <xf numFmtId="0" fontId="2" fillId="2" borderId="0" applyNumberFormat="0" applyBorder="0" applyAlignment="0" applyProtection="0"/>
    <xf numFmtId="43" fontId="1" fillId="0" borderId="0" applyFont="0" applyFill="0" applyBorder="0" applyAlignment="0" applyProtection="0"/>
    <xf numFmtId="0" fontId="35" fillId="0" borderId="0"/>
    <xf numFmtId="0" fontId="1" fillId="0" borderId="0"/>
    <xf numFmtId="164" fontId="35" fillId="0" borderId="0" applyFont="0" applyFill="0" applyBorder="0" applyAlignment="0" applyProtection="0"/>
  </cellStyleXfs>
  <cellXfs count="262">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applyProtection="1">
      <protection hidden="1"/>
    </xf>
    <xf numFmtId="0" fontId="3" fillId="0" borderId="1" xfId="0" applyFont="1" applyBorder="1" applyProtection="1">
      <protection hidden="1"/>
    </xf>
    <xf numFmtId="0" fontId="3" fillId="0" borderId="2" xfId="0" applyFont="1" applyBorder="1" applyProtection="1">
      <protection hidden="1"/>
    </xf>
    <xf numFmtId="0" fontId="3" fillId="0" borderId="3" xfId="0" applyFont="1" applyBorder="1" applyProtection="1">
      <protection hidden="1"/>
    </xf>
    <xf numFmtId="0" fontId="3" fillId="0" borderId="7" xfId="0" applyFont="1" applyBorder="1" applyProtection="1">
      <protection hidden="1"/>
    </xf>
    <xf numFmtId="0" fontId="5" fillId="0" borderId="0" xfId="0" applyFont="1" applyProtection="1">
      <protection hidden="1"/>
    </xf>
    <xf numFmtId="0" fontId="4" fillId="0" borderId="7" xfId="0" applyFont="1" applyBorder="1" applyAlignment="1" applyProtection="1">
      <alignment vertical="center" wrapText="1"/>
      <protection hidden="1"/>
    </xf>
    <xf numFmtId="0" fontId="4" fillId="0" borderId="7" xfId="0" applyFont="1" applyBorder="1" applyAlignment="1" applyProtection="1">
      <alignment horizontal="center" vertical="center" wrapText="1"/>
      <protection hidden="1"/>
    </xf>
    <xf numFmtId="0" fontId="5" fillId="0" borderId="6" xfId="0" applyFont="1" applyBorder="1" applyAlignment="1" applyProtection="1">
      <alignment vertical="center"/>
      <protection hidden="1"/>
    </xf>
    <xf numFmtId="0" fontId="5" fillId="0" borderId="8" xfId="0" applyFont="1" applyBorder="1" applyProtection="1">
      <protection hidden="1"/>
    </xf>
    <xf numFmtId="0" fontId="6" fillId="0" borderId="0" xfId="0" applyFont="1" applyProtection="1">
      <protection hidden="1"/>
    </xf>
    <xf numFmtId="0" fontId="9" fillId="0" borderId="0" xfId="0" applyFont="1" applyAlignment="1" applyProtection="1">
      <alignment horizontal="left"/>
      <protection hidden="1"/>
    </xf>
    <xf numFmtId="0" fontId="11" fillId="0" borderId="4" xfId="0" applyFont="1" applyBorder="1" applyAlignment="1" applyProtection="1">
      <alignment vertical="center"/>
      <protection hidden="1"/>
    </xf>
    <xf numFmtId="0" fontId="11" fillId="0" borderId="5" xfId="0" applyFont="1" applyBorder="1" applyProtection="1">
      <protection hidden="1"/>
    </xf>
    <xf numFmtId="0" fontId="11" fillId="0" borderId="0" xfId="0" applyFont="1" applyProtection="1">
      <protection hidden="1"/>
    </xf>
    <xf numFmtId="0" fontId="14" fillId="0" borderId="10" xfId="0" applyFont="1" applyBorder="1" applyAlignment="1" applyProtection="1">
      <alignment vertical="center" wrapText="1"/>
      <protection hidden="1"/>
    </xf>
    <xf numFmtId="0" fontId="14" fillId="0" borderId="7" xfId="0" applyFont="1" applyBorder="1" applyAlignment="1" applyProtection="1">
      <alignment vertical="center" wrapText="1"/>
      <protection hidden="1"/>
    </xf>
    <xf numFmtId="0" fontId="15" fillId="0" borderId="7" xfId="0" applyFont="1" applyBorder="1" applyAlignment="1" applyProtection="1">
      <alignment vertical="center" wrapText="1"/>
      <protection hidden="1"/>
    </xf>
    <xf numFmtId="0" fontId="15" fillId="0" borderId="8" xfId="0" applyFont="1" applyBorder="1" applyAlignment="1" applyProtection="1">
      <alignment vertical="center" wrapText="1"/>
      <protection hidden="1"/>
    </xf>
    <xf numFmtId="0" fontId="15" fillId="0" borderId="10" xfId="0" applyFont="1" applyBorder="1" applyAlignment="1" applyProtection="1">
      <alignment vertical="center" wrapText="1"/>
      <protection hidden="1"/>
    </xf>
    <xf numFmtId="0" fontId="15" fillId="0" borderId="11" xfId="0" applyFont="1" applyBorder="1" applyAlignment="1" applyProtection="1">
      <alignment vertical="center" wrapText="1"/>
      <protection hidden="1"/>
    </xf>
    <xf numFmtId="0" fontId="6" fillId="0" borderId="0" xfId="0" applyFont="1" applyProtection="1">
      <protection locked="0" hidden="1"/>
    </xf>
    <xf numFmtId="0" fontId="6" fillId="0" borderId="1" xfId="0" applyFont="1" applyBorder="1" applyProtection="1">
      <protection locked="0" hidden="1"/>
    </xf>
    <xf numFmtId="0" fontId="7" fillId="0" borderId="2" xfId="0" applyFont="1" applyBorder="1" applyProtection="1">
      <protection locked="0" hidden="1"/>
    </xf>
    <xf numFmtId="0" fontId="6" fillId="0" borderId="2" xfId="0" applyFont="1" applyBorder="1" applyProtection="1">
      <protection locked="0" hidden="1"/>
    </xf>
    <xf numFmtId="0" fontId="6" fillId="0" borderId="3" xfId="0" applyFont="1" applyBorder="1" applyProtection="1">
      <protection locked="0" hidden="1"/>
    </xf>
    <xf numFmtId="0" fontId="10" fillId="0" borderId="0" xfId="0" applyFont="1" applyAlignment="1" applyProtection="1">
      <alignment horizontal="center"/>
      <protection hidden="1"/>
    </xf>
    <xf numFmtId="0" fontId="10" fillId="0" borderId="4" xfId="0" applyFont="1" applyBorder="1" applyAlignment="1" applyProtection="1">
      <alignment horizontal="center" vertical="center"/>
      <protection hidden="1"/>
    </xf>
    <xf numFmtId="0" fontId="13" fillId="4" borderId="10" xfId="0" applyFont="1" applyFill="1" applyBorder="1" applyAlignment="1" applyProtection="1">
      <alignment horizontal="center" vertical="center" wrapText="1"/>
      <protection hidden="1"/>
    </xf>
    <xf numFmtId="0" fontId="10" fillId="0" borderId="5" xfId="0" applyFont="1" applyBorder="1" applyAlignment="1" applyProtection="1">
      <alignment horizontal="center"/>
      <protection hidden="1"/>
    </xf>
    <xf numFmtId="0" fontId="12" fillId="0" borderId="13" xfId="0" applyFont="1" applyBorder="1" applyAlignment="1" applyProtection="1">
      <alignment vertical="center" wrapText="1"/>
      <protection hidden="1"/>
    </xf>
    <xf numFmtId="165" fontId="12" fillId="0" borderId="13" xfId="0" applyNumberFormat="1" applyFont="1" applyBorder="1" applyAlignment="1" applyProtection="1">
      <alignment horizontal="center" vertical="center" wrapText="1"/>
      <protection hidden="1"/>
    </xf>
    <xf numFmtId="0" fontId="12" fillId="0" borderId="13" xfId="0" applyFont="1" applyBorder="1" applyAlignment="1" applyProtection="1">
      <alignment horizontal="center" vertical="center" wrapText="1"/>
      <protection hidden="1"/>
    </xf>
    <xf numFmtId="1" fontId="12" fillId="0" borderId="13" xfId="0" applyNumberFormat="1" applyFont="1" applyBorder="1" applyAlignment="1" applyProtection="1">
      <alignment horizontal="center" vertical="center" wrapText="1"/>
      <protection hidden="1"/>
    </xf>
    <xf numFmtId="0" fontId="12" fillId="0" borderId="12" xfId="0" applyFont="1" applyBorder="1" applyAlignment="1" applyProtection="1">
      <alignment vertical="center" wrapText="1"/>
      <protection hidden="1"/>
    </xf>
    <xf numFmtId="0" fontId="7" fillId="0" borderId="2" xfId="0" applyFont="1" applyBorder="1" applyProtection="1">
      <protection hidden="1"/>
    </xf>
    <xf numFmtId="0" fontId="16" fillId="0" borderId="0" xfId="0" applyFont="1" applyAlignment="1" applyProtection="1">
      <alignment horizontal="center"/>
      <protection hidden="1"/>
    </xf>
    <xf numFmtId="0" fontId="16" fillId="0" borderId="4" xfId="0" applyFont="1" applyBorder="1" applyAlignment="1" applyProtection="1">
      <alignment horizontal="center" vertical="center"/>
      <protection hidden="1"/>
    </xf>
    <xf numFmtId="0" fontId="16" fillId="0" borderId="5" xfId="0" applyFont="1" applyBorder="1" applyAlignment="1" applyProtection="1">
      <alignment horizontal="center"/>
      <protection hidden="1"/>
    </xf>
    <xf numFmtId="0" fontId="10" fillId="0" borderId="4" xfId="0" applyFont="1" applyBorder="1" applyAlignment="1" applyProtection="1">
      <alignment vertical="center"/>
      <protection hidden="1"/>
    </xf>
    <xf numFmtId="165" fontId="13" fillId="0" borderId="13" xfId="0" applyNumberFormat="1" applyFont="1" applyBorder="1" applyAlignment="1" applyProtection="1">
      <alignment horizontal="center" vertical="center" wrapText="1"/>
      <protection hidden="1"/>
    </xf>
    <xf numFmtId="0" fontId="13" fillId="0" borderId="13" xfId="0" applyFont="1" applyBorder="1" applyAlignment="1" applyProtection="1">
      <alignment horizontal="center" vertical="center" wrapText="1"/>
      <protection hidden="1"/>
    </xf>
    <xf numFmtId="0" fontId="7" fillId="0" borderId="0" xfId="0" applyFont="1" applyProtection="1">
      <protection hidden="1"/>
    </xf>
    <xf numFmtId="0" fontId="7" fillId="0" borderId="1" xfId="0" applyFont="1" applyBorder="1" applyProtection="1">
      <protection hidden="1"/>
    </xf>
    <xf numFmtId="0" fontId="7" fillId="0" borderId="3" xfId="0" applyFont="1" applyBorder="1" applyProtection="1">
      <protection hidden="1"/>
    </xf>
    <xf numFmtId="0" fontId="7" fillId="0" borderId="7" xfId="0" applyFont="1" applyBorder="1" applyProtection="1">
      <protection hidden="1"/>
    </xf>
    <xf numFmtId="0" fontId="17" fillId="0" borderId="0" xfId="0" applyFont="1" applyProtection="1">
      <protection hidden="1"/>
    </xf>
    <xf numFmtId="0" fontId="17" fillId="0" borderId="1" xfId="0" applyFont="1" applyBorder="1" applyProtection="1">
      <protection hidden="1"/>
    </xf>
    <xf numFmtId="0" fontId="17" fillId="0" borderId="2" xfId="0" applyFont="1" applyBorder="1" applyProtection="1">
      <protection hidden="1"/>
    </xf>
    <xf numFmtId="0" fontId="17" fillId="0" borderId="3" xfId="0" applyFont="1" applyBorder="1" applyProtection="1">
      <protection hidden="1"/>
    </xf>
    <xf numFmtId="0" fontId="17" fillId="0" borderId="4" xfId="0" applyFont="1" applyBorder="1" applyProtection="1">
      <protection hidden="1"/>
    </xf>
    <xf numFmtId="0" fontId="17" fillId="0" borderId="5" xfId="0" applyFont="1" applyBorder="1" applyProtection="1">
      <protection hidden="1"/>
    </xf>
    <xf numFmtId="0" fontId="17" fillId="0" borderId="6" xfId="0" applyFont="1" applyBorder="1" applyProtection="1">
      <protection hidden="1"/>
    </xf>
    <xf numFmtId="0" fontId="17" fillId="0" borderId="7" xfId="0" applyFont="1" applyBorder="1" applyProtection="1">
      <protection hidden="1"/>
    </xf>
    <xf numFmtId="0" fontId="17" fillId="0" borderId="8" xfId="0" applyFont="1" applyBorder="1" applyProtection="1">
      <protection hidden="1"/>
    </xf>
    <xf numFmtId="0" fontId="17" fillId="0" borderId="4" xfId="0" applyFont="1" applyBorder="1" applyAlignment="1" applyProtection="1">
      <alignment vertical="center"/>
      <protection hidden="1"/>
    </xf>
    <xf numFmtId="0" fontId="20" fillId="0" borderId="4" xfId="0" applyFont="1" applyBorder="1" applyAlignment="1" applyProtection="1">
      <alignment vertical="center"/>
      <protection hidden="1"/>
    </xf>
    <xf numFmtId="0" fontId="20" fillId="0" borderId="5" xfId="0" applyFont="1" applyBorder="1" applyProtection="1">
      <protection hidden="1"/>
    </xf>
    <xf numFmtId="0" fontId="20" fillId="0" borderId="0" xfId="0" applyFont="1" applyProtection="1">
      <protection hidden="1"/>
    </xf>
    <xf numFmtId="0" fontId="23" fillId="0" borderId="10" xfId="0" applyFont="1" applyBorder="1" applyAlignment="1" applyProtection="1">
      <alignment vertical="center" wrapText="1"/>
      <protection hidden="1"/>
    </xf>
    <xf numFmtId="0" fontId="23" fillId="0" borderId="7" xfId="0" applyFont="1" applyBorder="1" applyAlignment="1" applyProtection="1">
      <alignment vertical="center" wrapText="1"/>
      <protection hidden="1"/>
    </xf>
    <xf numFmtId="0" fontId="23" fillId="0" borderId="7" xfId="0" applyFont="1" applyBorder="1" applyAlignment="1" applyProtection="1">
      <alignment horizontal="center" vertical="center" wrapText="1"/>
      <protection hidden="1"/>
    </xf>
    <xf numFmtId="0" fontId="17" fillId="0" borderId="0" xfId="0" applyFont="1" applyProtection="1">
      <protection locked="0" hidden="1"/>
    </xf>
    <xf numFmtId="0" fontId="23" fillId="0" borderId="0" xfId="0" applyFont="1" applyAlignment="1" applyProtection="1">
      <alignment vertical="center" wrapText="1"/>
      <protection hidden="1"/>
    </xf>
    <xf numFmtId="0" fontId="23" fillId="0" borderId="0" xfId="0" applyFont="1" applyAlignment="1" applyProtection="1">
      <alignment horizontal="center" vertical="center" wrapText="1"/>
      <protection hidden="1"/>
    </xf>
    <xf numFmtId="0" fontId="23" fillId="0" borderId="2" xfId="0" applyFont="1" applyBorder="1" applyAlignment="1" applyProtection="1">
      <alignment horizontal="center" vertical="center" wrapText="1"/>
      <protection hidden="1"/>
    </xf>
    <xf numFmtId="0" fontId="23" fillId="0" borderId="5" xfId="0" applyFont="1" applyBorder="1" applyAlignment="1" applyProtection="1">
      <alignment vertical="center" wrapText="1"/>
      <protection hidden="1"/>
    </xf>
    <xf numFmtId="0" fontId="21" fillId="0" borderId="1" xfId="0" applyFont="1" applyBorder="1" applyAlignment="1" applyProtection="1">
      <alignment vertical="center" wrapText="1"/>
      <protection locked="0"/>
    </xf>
    <xf numFmtId="0" fontId="21" fillId="0" borderId="2" xfId="0" applyFont="1" applyBorder="1" applyAlignment="1" applyProtection="1">
      <alignment vertical="center" wrapText="1"/>
      <protection locked="0"/>
    </xf>
    <xf numFmtId="0" fontId="21" fillId="0" borderId="2" xfId="0" applyFont="1" applyBorder="1" applyAlignment="1" applyProtection="1">
      <alignment horizontal="center" vertical="center" wrapText="1"/>
      <protection locked="0" hidden="1"/>
    </xf>
    <xf numFmtId="1" fontId="21" fillId="0" borderId="2" xfId="0" applyNumberFormat="1" applyFont="1" applyBorder="1" applyAlignment="1" applyProtection="1">
      <alignment horizontal="center" vertical="center" wrapText="1"/>
      <protection hidden="1"/>
    </xf>
    <xf numFmtId="9" fontId="21" fillId="0" borderId="2" xfId="1" applyFont="1" applyFill="1" applyBorder="1" applyAlignment="1" applyProtection="1">
      <alignment horizontal="center" vertical="center" wrapText="1"/>
      <protection hidden="1"/>
    </xf>
    <xf numFmtId="0" fontId="23" fillId="0" borderId="8" xfId="0" applyFont="1" applyBorder="1" applyAlignment="1" applyProtection="1">
      <alignment vertical="center" wrapText="1"/>
      <protection hidden="1"/>
    </xf>
    <xf numFmtId="0" fontId="17" fillId="0" borderId="6" xfId="0" applyFont="1" applyBorder="1" applyProtection="1">
      <protection locked="0" hidden="1"/>
    </xf>
    <xf numFmtId="0" fontId="17" fillId="0" borderId="7" xfId="0" applyFont="1" applyBorder="1" applyProtection="1">
      <protection locked="0" hidden="1"/>
    </xf>
    <xf numFmtId="0" fontId="17" fillId="0" borderId="8" xfId="0" applyFont="1" applyBorder="1" applyProtection="1">
      <protection locked="0" hidden="1"/>
    </xf>
    <xf numFmtId="0" fontId="15" fillId="4" borderId="9" xfId="0" applyFont="1" applyFill="1" applyBorder="1" applyAlignment="1" applyProtection="1">
      <alignment vertical="center" wrapText="1"/>
      <protection hidden="1"/>
    </xf>
    <xf numFmtId="165" fontId="12" fillId="0" borderId="13" xfId="1" applyNumberFormat="1" applyFont="1" applyFill="1" applyBorder="1" applyAlignment="1" applyProtection="1">
      <alignment horizontal="center" vertical="center" wrapText="1"/>
      <protection hidden="1"/>
    </xf>
    <xf numFmtId="165" fontId="21" fillId="0" borderId="2" xfId="1" applyNumberFormat="1" applyFont="1" applyFill="1" applyBorder="1" applyAlignment="1" applyProtection="1">
      <alignment horizontal="center" vertical="center" wrapText="1"/>
      <protection locked="0" hidden="1"/>
    </xf>
    <xf numFmtId="0" fontId="18" fillId="0" borderId="4" xfId="0" applyFont="1" applyBorder="1" applyAlignment="1" applyProtection="1">
      <alignment vertical="center" wrapText="1"/>
      <protection hidden="1"/>
    </xf>
    <xf numFmtId="0" fontId="18" fillId="0" borderId="0" xfId="0" applyFont="1" applyAlignment="1" applyProtection="1">
      <alignment vertical="center" wrapText="1"/>
      <protection hidden="1"/>
    </xf>
    <xf numFmtId="0" fontId="18" fillId="0" borderId="5" xfId="0" applyFont="1" applyBorder="1" applyAlignment="1" applyProtection="1">
      <alignment vertical="center" wrapText="1"/>
      <protection hidden="1"/>
    </xf>
    <xf numFmtId="0" fontId="10" fillId="0" borderId="0" xfId="0" applyFont="1" applyAlignment="1" applyProtection="1">
      <alignment vertical="center"/>
      <protection hidden="1"/>
    </xf>
    <xf numFmtId="0" fontId="10" fillId="0" borderId="5" xfId="0" applyFont="1" applyBorder="1" applyAlignment="1" applyProtection="1">
      <alignment vertical="center"/>
      <protection hidden="1"/>
    </xf>
    <xf numFmtId="0" fontId="30" fillId="0" borderId="13" xfId="0" applyFont="1" applyBorder="1" applyAlignment="1" applyProtection="1">
      <alignment vertical="center"/>
      <protection hidden="1"/>
    </xf>
    <xf numFmtId="0" fontId="31" fillId="0" borderId="13" xfId="0" applyFont="1" applyBorder="1" applyAlignment="1" applyProtection="1">
      <alignment vertical="center" wrapText="1"/>
      <protection hidden="1"/>
    </xf>
    <xf numFmtId="0" fontId="31" fillId="0" borderId="13" xfId="0" applyFont="1" applyBorder="1" applyAlignment="1" applyProtection="1">
      <alignment horizontal="center" vertical="center" wrapText="1"/>
      <protection hidden="1"/>
    </xf>
    <xf numFmtId="0" fontId="10" fillId="0" borderId="0" xfId="0" applyFont="1" applyProtection="1">
      <protection hidden="1"/>
    </xf>
    <xf numFmtId="0" fontId="15" fillId="0" borderId="0" xfId="0" applyFont="1" applyAlignment="1" applyProtection="1">
      <alignment vertical="center" wrapText="1"/>
      <protection hidden="1"/>
    </xf>
    <xf numFmtId="0" fontId="10" fillId="0" borderId="5" xfId="0" applyFont="1" applyBorder="1" applyProtection="1">
      <protection hidden="1"/>
    </xf>
    <xf numFmtId="0" fontId="7" fillId="0" borderId="6" xfId="0" applyFont="1" applyBorder="1" applyProtection="1">
      <protection hidden="1"/>
    </xf>
    <xf numFmtId="0" fontId="7" fillId="0" borderId="8" xfId="0" applyFont="1" applyBorder="1" applyProtection="1">
      <protection hidden="1"/>
    </xf>
    <xf numFmtId="0" fontId="33" fillId="0" borderId="4" xfId="0" applyFont="1" applyBorder="1" applyProtection="1">
      <protection hidden="1"/>
    </xf>
    <xf numFmtId="0" fontId="33" fillId="0" borderId="0" xfId="0" applyFont="1" applyProtection="1">
      <protection hidden="1"/>
    </xf>
    <xf numFmtId="0" fontId="33" fillId="0" borderId="5" xfId="0" applyFont="1" applyBorder="1" applyProtection="1">
      <protection hidden="1"/>
    </xf>
    <xf numFmtId="0" fontId="28" fillId="0" borderId="0" xfId="0" applyFont="1" applyProtection="1">
      <protection hidden="1"/>
    </xf>
    <xf numFmtId="0" fontId="28" fillId="0" borderId="29" xfId="0" applyFont="1" applyBorder="1" applyProtection="1">
      <protection hidden="1"/>
    </xf>
    <xf numFmtId="0" fontId="28" fillId="0" borderId="30" xfId="0" applyFont="1" applyBorder="1" applyProtection="1">
      <protection hidden="1"/>
    </xf>
    <xf numFmtId="0" fontId="6" fillId="0" borderId="32" xfId="0" applyFont="1" applyBorder="1" applyProtection="1">
      <protection hidden="1"/>
    </xf>
    <xf numFmtId="0" fontId="6" fillId="0" borderId="33" xfId="0" applyFont="1" applyBorder="1" applyProtection="1">
      <protection hidden="1"/>
    </xf>
    <xf numFmtId="0" fontId="28" fillId="0" borderId="32" xfId="0" applyFont="1" applyBorder="1" applyProtection="1">
      <protection hidden="1"/>
    </xf>
    <xf numFmtId="167" fontId="8" fillId="5" borderId="34" xfId="0" applyNumberFormat="1" applyFont="1" applyFill="1" applyBorder="1" applyAlignment="1" applyProtection="1">
      <alignment horizontal="left" vertical="center" wrapText="1"/>
      <protection hidden="1"/>
    </xf>
    <xf numFmtId="0" fontId="9" fillId="0" borderId="35" xfId="0" applyFont="1" applyBorder="1" applyAlignment="1" applyProtection="1">
      <alignment horizontal="left"/>
      <protection hidden="1"/>
    </xf>
    <xf numFmtId="166" fontId="8" fillId="0" borderId="35" xfId="0" applyNumberFormat="1" applyFont="1" applyBorder="1" applyAlignment="1" applyProtection="1">
      <alignment vertical="center" wrapText="1"/>
      <protection hidden="1"/>
    </xf>
    <xf numFmtId="166" fontId="9" fillId="0" borderId="35" xfId="0" applyNumberFormat="1" applyFont="1" applyBorder="1" applyAlignment="1" applyProtection="1">
      <alignment horizontal="left"/>
      <protection hidden="1"/>
    </xf>
    <xf numFmtId="0" fontId="13" fillId="4" borderId="39" xfId="0" applyFont="1" applyFill="1" applyBorder="1" applyAlignment="1" applyProtection="1">
      <alignment horizontal="center" vertical="center" wrapText="1"/>
      <protection hidden="1"/>
    </xf>
    <xf numFmtId="0" fontId="23" fillId="0" borderId="33" xfId="0" applyFont="1" applyBorder="1" applyAlignment="1" applyProtection="1">
      <alignment vertical="center" wrapText="1"/>
      <protection hidden="1"/>
    </xf>
    <xf numFmtId="0" fontId="12" fillId="0" borderId="43" xfId="0" applyFont="1" applyBorder="1" applyAlignment="1" applyProtection="1">
      <alignment vertical="center" wrapText="1"/>
      <protection hidden="1"/>
    </xf>
    <xf numFmtId="0" fontId="23" fillId="0" borderId="35" xfId="0" applyFont="1" applyBorder="1" applyAlignment="1" applyProtection="1">
      <alignment vertical="center" wrapText="1"/>
      <protection hidden="1"/>
    </xf>
    <xf numFmtId="0" fontId="23" fillId="0" borderId="35" xfId="0" applyFont="1" applyBorder="1" applyAlignment="1" applyProtection="1">
      <alignment horizontal="center" vertical="center" wrapText="1"/>
      <protection hidden="1"/>
    </xf>
    <xf numFmtId="0" fontId="23" fillId="0" borderId="36" xfId="0" applyFont="1" applyBorder="1" applyAlignment="1" applyProtection="1">
      <alignment vertical="center" wrapText="1"/>
      <protection hidden="1"/>
    </xf>
    <xf numFmtId="168" fontId="31" fillId="0" borderId="13" xfId="3" applyNumberFormat="1" applyFont="1" applyFill="1" applyBorder="1" applyAlignment="1" applyProtection="1">
      <alignment horizontal="center" vertical="center" wrapText="1"/>
      <protection hidden="1"/>
    </xf>
    <xf numFmtId="165" fontId="13" fillId="0" borderId="13" xfId="1" applyNumberFormat="1" applyFont="1" applyFill="1" applyBorder="1" applyAlignment="1" applyProtection="1">
      <alignment horizontal="center" vertical="center" wrapText="1"/>
      <protection hidden="1"/>
    </xf>
    <xf numFmtId="168" fontId="15" fillId="0" borderId="13" xfId="3" applyNumberFormat="1" applyFont="1" applyFill="1" applyBorder="1" applyAlignment="1" applyProtection="1">
      <alignment horizontal="center" vertical="center" wrapText="1"/>
      <protection hidden="1"/>
    </xf>
    <xf numFmtId="10" fontId="20" fillId="0" borderId="0" xfId="0" applyNumberFormat="1" applyFont="1" applyProtection="1">
      <protection hidden="1"/>
    </xf>
    <xf numFmtId="9" fontId="20" fillId="0" borderId="0" xfId="0" applyNumberFormat="1" applyFont="1" applyProtection="1">
      <protection hidden="1"/>
    </xf>
    <xf numFmtId="169" fontId="15" fillId="0" borderId="13" xfId="3" applyNumberFormat="1" applyFont="1" applyFill="1" applyBorder="1" applyAlignment="1" applyProtection="1">
      <alignment horizontal="center" vertical="center" wrapText="1"/>
      <protection hidden="1"/>
    </xf>
    <xf numFmtId="0" fontId="15" fillId="0" borderId="10" xfId="0" applyFont="1" applyBorder="1" applyAlignment="1" applyProtection="1">
      <alignment horizontal="center" vertical="center" wrapText="1"/>
      <protection hidden="1"/>
    </xf>
    <xf numFmtId="0" fontId="13" fillId="0" borderId="10" xfId="0" applyFont="1" applyBorder="1" applyAlignment="1" applyProtection="1">
      <alignment vertical="center" wrapText="1"/>
      <protection hidden="1"/>
    </xf>
    <xf numFmtId="0" fontId="15" fillId="0" borderId="7" xfId="0" applyFont="1" applyBorder="1" applyAlignment="1" applyProtection="1">
      <alignment horizontal="center" vertical="center" wrapText="1"/>
      <protection hidden="1"/>
    </xf>
    <xf numFmtId="0" fontId="36" fillId="0" borderId="25" xfId="5" applyFont="1" applyBorder="1"/>
    <xf numFmtId="0" fontId="37" fillId="6" borderId="25" xfId="0" applyFont="1" applyFill="1" applyBorder="1"/>
    <xf numFmtId="0" fontId="37" fillId="0" borderId="25" xfId="0" applyFont="1" applyBorder="1" applyAlignment="1">
      <alignment horizontal="center"/>
    </xf>
    <xf numFmtId="0" fontId="37" fillId="0" borderId="25" xfId="0" applyFont="1" applyBorder="1"/>
    <xf numFmtId="0" fontId="0" fillId="0" borderId="25" xfId="0" applyBorder="1"/>
    <xf numFmtId="0" fontId="0" fillId="0" borderId="25" xfId="0" applyBorder="1" applyAlignment="1">
      <alignment horizontal="left"/>
    </xf>
    <xf numFmtId="0" fontId="8" fillId="5" borderId="25" xfId="0" applyFont="1" applyFill="1" applyBorder="1"/>
    <xf numFmtId="0" fontId="28" fillId="0" borderId="0" xfId="0" applyFont="1" applyAlignment="1" applyProtection="1">
      <alignment horizontal="left"/>
      <protection hidden="1"/>
    </xf>
    <xf numFmtId="0" fontId="28" fillId="0" borderId="0" xfId="0" applyFont="1" applyAlignment="1" applyProtection="1">
      <alignment horizontal="left" wrapText="1"/>
      <protection hidden="1"/>
    </xf>
    <xf numFmtId="0" fontId="28" fillId="0" borderId="33" xfId="0" applyFont="1" applyBorder="1" applyAlignment="1" applyProtection="1">
      <alignment horizontal="left"/>
      <protection hidden="1"/>
    </xf>
    <xf numFmtId="0" fontId="8" fillId="5" borderId="35" xfId="0" applyFont="1" applyFill="1" applyBorder="1" applyAlignment="1" applyProtection="1">
      <alignment horizontal="left" vertical="center" wrapText="1"/>
      <protection hidden="1"/>
    </xf>
    <xf numFmtId="166" fontId="8" fillId="5" borderId="35" xfId="0" applyNumberFormat="1" applyFont="1" applyFill="1" applyBorder="1" applyAlignment="1" applyProtection="1">
      <alignment horizontal="left" vertical="center" wrapText="1"/>
      <protection hidden="1"/>
    </xf>
    <xf numFmtId="167" fontId="8" fillId="5" borderId="35" xfId="0" applyNumberFormat="1" applyFont="1" applyFill="1" applyBorder="1" applyAlignment="1" applyProtection="1">
      <alignment horizontal="left" vertical="center" wrapText="1"/>
      <protection hidden="1"/>
    </xf>
    <xf numFmtId="167" fontId="27" fillId="5" borderId="35" xfId="0" applyNumberFormat="1" applyFont="1" applyFill="1" applyBorder="1" applyAlignment="1" applyProtection="1">
      <alignment horizontal="left" vertical="center" wrapText="1"/>
      <protection hidden="1"/>
    </xf>
    <xf numFmtId="167" fontId="27" fillId="5" borderId="36" xfId="0" applyNumberFormat="1" applyFont="1" applyFill="1" applyBorder="1" applyAlignment="1" applyProtection="1">
      <alignment horizontal="left" vertical="center" wrapText="1"/>
      <protection hidden="1"/>
    </xf>
    <xf numFmtId="0" fontId="25" fillId="3" borderId="2" xfId="2" applyFont="1" applyFill="1" applyBorder="1" applyAlignment="1" applyProtection="1">
      <alignment horizontal="center" vertical="center"/>
      <protection hidden="1"/>
    </xf>
    <xf numFmtId="0" fontId="28" fillId="0" borderId="30" xfId="0" applyFont="1" applyBorder="1" applyAlignment="1" applyProtection="1">
      <alignment horizontal="left"/>
      <protection hidden="1"/>
    </xf>
    <xf numFmtId="0" fontId="28" fillId="0" borderId="31" xfId="0" applyFont="1" applyBorder="1" applyAlignment="1" applyProtection="1">
      <alignment horizontal="left"/>
      <protection hidden="1"/>
    </xf>
    <xf numFmtId="0" fontId="8" fillId="5" borderId="0" xfId="0" applyFont="1" applyFill="1" applyAlignment="1" applyProtection="1">
      <alignment horizontal="left" vertical="center" wrapText="1"/>
      <protection hidden="1"/>
    </xf>
    <xf numFmtId="0" fontId="26" fillId="5" borderId="0" xfId="0" applyFont="1" applyFill="1" applyAlignment="1" applyProtection="1">
      <alignment horizontal="center" vertical="center" wrapText="1"/>
      <protection hidden="1"/>
    </xf>
    <xf numFmtId="0" fontId="26" fillId="5" borderId="33" xfId="0" applyFont="1" applyFill="1" applyBorder="1" applyAlignment="1" applyProtection="1">
      <alignment horizontal="center" vertical="center" wrapText="1"/>
      <protection hidden="1"/>
    </xf>
    <xf numFmtId="0" fontId="29" fillId="0" borderId="1" xfId="0" applyFont="1" applyBorder="1" applyAlignment="1" applyProtection="1">
      <alignment horizontal="left" vertical="center" wrapText="1"/>
      <protection hidden="1"/>
    </xf>
    <xf numFmtId="0" fontId="29" fillId="0" borderId="2" xfId="0" applyFont="1" applyBorder="1" applyAlignment="1" applyProtection="1">
      <alignment horizontal="left" vertical="center" wrapText="1"/>
      <protection hidden="1"/>
    </xf>
    <xf numFmtId="0" fontId="29" fillId="0" borderId="4" xfId="0" applyFont="1" applyBorder="1" applyAlignment="1" applyProtection="1">
      <alignment horizontal="left" vertical="center" wrapText="1"/>
      <protection hidden="1"/>
    </xf>
    <xf numFmtId="0" fontId="29" fillId="0" borderId="0" xfId="0" applyFont="1" applyAlignment="1" applyProtection="1">
      <alignment horizontal="left" vertical="center" wrapText="1"/>
      <protection hidden="1"/>
    </xf>
    <xf numFmtId="0" fontId="29" fillId="0" borderId="6" xfId="0" applyFont="1" applyBorder="1" applyAlignment="1" applyProtection="1">
      <alignment horizontal="left" vertical="center" wrapText="1"/>
      <protection hidden="1"/>
    </xf>
    <xf numFmtId="0" fontId="29" fillId="0" borderId="7" xfId="0" applyFont="1" applyBorder="1" applyAlignment="1" applyProtection="1">
      <alignment horizontal="left" vertical="center" wrapText="1"/>
      <protection hidden="1"/>
    </xf>
    <xf numFmtId="0" fontId="15" fillId="0" borderId="10" xfId="0" applyFont="1" applyBorder="1" applyAlignment="1" applyProtection="1">
      <alignment horizontal="left" vertical="center" wrapText="1"/>
      <protection hidden="1"/>
    </xf>
    <xf numFmtId="0" fontId="15" fillId="0" borderId="11" xfId="0" applyFont="1" applyBorder="1" applyAlignment="1" applyProtection="1">
      <alignment horizontal="left" vertical="center" wrapText="1"/>
      <protection hidden="1"/>
    </xf>
    <xf numFmtId="0" fontId="34" fillId="0" borderId="22" xfId="0" applyFont="1" applyBorder="1" applyAlignment="1" applyProtection="1">
      <alignment horizontal="left" vertical="center"/>
      <protection hidden="1"/>
    </xf>
    <xf numFmtId="0" fontId="34" fillId="0" borderId="23" xfId="0" applyFont="1" applyBorder="1" applyAlignment="1" applyProtection="1">
      <alignment horizontal="left" vertical="center"/>
      <protection hidden="1"/>
    </xf>
    <xf numFmtId="0" fontId="19" fillId="5" borderId="23" xfId="0" applyFont="1" applyFill="1" applyBorder="1" applyAlignment="1" applyProtection="1">
      <alignment horizontal="left" vertical="center" wrapText="1"/>
      <protection hidden="1"/>
    </xf>
    <xf numFmtId="0" fontId="19" fillId="5" borderId="24" xfId="0" applyFont="1" applyFill="1" applyBorder="1" applyAlignment="1" applyProtection="1">
      <alignment horizontal="left" vertical="center" wrapText="1"/>
      <protection hidden="1"/>
    </xf>
    <xf numFmtId="0" fontId="29" fillId="0" borderId="14" xfId="0" applyFont="1" applyBorder="1" applyAlignment="1" applyProtection="1">
      <alignment horizontal="left" vertical="center" wrapText="1"/>
      <protection hidden="1"/>
    </xf>
    <xf numFmtId="0" fontId="29" fillId="0" borderId="15" xfId="0" applyFont="1" applyBorder="1" applyAlignment="1" applyProtection="1">
      <alignment horizontal="left" vertical="center" wrapText="1"/>
      <protection hidden="1"/>
    </xf>
    <xf numFmtId="0" fontId="29" fillId="0" borderId="17" xfId="0" applyFont="1" applyBorder="1" applyAlignment="1" applyProtection="1">
      <alignment horizontal="left" vertical="center" wrapText="1"/>
      <protection hidden="1"/>
    </xf>
    <xf numFmtId="0" fontId="29" fillId="0" borderId="19" xfId="0" applyFont="1" applyBorder="1" applyAlignment="1" applyProtection="1">
      <alignment horizontal="left" vertical="center" wrapText="1"/>
      <protection hidden="1"/>
    </xf>
    <xf numFmtId="0" fontId="29" fillId="0" borderId="20" xfId="0" applyFont="1" applyBorder="1" applyAlignment="1" applyProtection="1">
      <alignment horizontal="left" vertical="center" wrapText="1"/>
      <protection hidden="1"/>
    </xf>
    <xf numFmtId="0" fontId="19" fillId="5" borderId="15" xfId="0" applyFont="1" applyFill="1" applyBorder="1" applyAlignment="1" applyProtection="1">
      <alignment horizontal="left" vertical="center" wrapText="1"/>
      <protection hidden="1"/>
    </xf>
    <xf numFmtId="0" fontId="19" fillId="5" borderId="16" xfId="0" applyFont="1" applyFill="1" applyBorder="1" applyAlignment="1" applyProtection="1">
      <alignment horizontal="left" vertical="center" wrapText="1"/>
      <protection hidden="1"/>
    </xf>
    <xf numFmtId="0" fontId="21" fillId="0" borderId="0" xfId="0" applyFont="1" applyAlignment="1" applyProtection="1">
      <alignment horizontal="left" vertical="center" wrapText="1"/>
      <protection hidden="1"/>
    </xf>
    <xf numFmtId="0" fontId="21" fillId="0" borderId="18" xfId="0" applyFont="1" applyBorder="1" applyAlignment="1" applyProtection="1">
      <alignment horizontal="left" vertical="center" wrapText="1"/>
      <protection hidden="1"/>
    </xf>
    <xf numFmtId="0" fontId="19" fillId="5" borderId="20" xfId="0" applyFont="1" applyFill="1" applyBorder="1" applyAlignment="1" applyProtection="1">
      <alignment horizontal="left" vertical="center" wrapText="1"/>
      <protection hidden="1"/>
    </xf>
    <xf numFmtId="0" fontId="19" fillId="5" borderId="21" xfId="0" applyFont="1" applyFill="1" applyBorder="1" applyAlignment="1" applyProtection="1">
      <alignment horizontal="left" vertical="center" wrapText="1"/>
      <protection hidden="1"/>
    </xf>
    <xf numFmtId="0" fontId="23" fillId="0" borderId="32" xfId="0" applyFont="1" applyBorder="1" applyAlignment="1" applyProtection="1">
      <alignment horizontal="center" vertical="center" wrapText="1"/>
      <protection hidden="1"/>
    </xf>
    <xf numFmtId="0" fontId="23" fillId="0" borderId="0" xfId="0" applyFont="1" applyAlignment="1" applyProtection="1">
      <alignment horizontal="center" vertical="center" wrapText="1"/>
      <protection hidden="1"/>
    </xf>
    <xf numFmtId="0" fontId="22" fillId="0" borderId="41" xfId="0" applyFont="1" applyBorder="1" applyAlignment="1" applyProtection="1">
      <alignment horizontal="left" vertical="center" wrapText="1"/>
      <protection locked="0"/>
    </xf>
    <xf numFmtId="0" fontId="22" fillId="0" borderId="2" xfId="0" applyFont="1" applyBorder="1" applyAlignment="1" applyProtection="1">
      <alignment horizontal="left" vertical="center" wrapText="1"/>
      <protection locked="0"/>
    </xf>
    <xf numFmtId="0" fontId="22" fillId="0" borderId="3" xfId="0" applyFont="1" applyBorder="1" applyAlignment="1" applyProtection="1">
      <alignment horizontal="left" vertical="center" wrapText="1"/>
      <protection locked="0"/>
    </xf>
    <xf numFmtId="0" fontId="22" fillId="0" borderId="32" xfId="0" applyFont="1" applyBorder="1" applyAlignment="1" applyProtection="1">
      <alignment horizontal="left" vertical="center" wrapText="1"/>
      <protection locked="0"/>
    </xf>
    <xf numFmtId="0" fontId="22" fillId="0" borderId="0" xfId="0" applyFont="1" applyAlignment="1" applyProtection="1">
      <alignment horizontal="left" vertical="center" wrapText="1"/>
      <protection locked="0"/>
    </xf>
    <xf numFmtId="0" fontId="22" fillId="0" borderId="5" xfId="0" applyFont="1" applyBorder="1" applyAlignment="1" applyProtection="1">
      <alignment horizontal="left" vertical="center" wrapText="1"/>
      <protection locked="0"/>
    </xf>
    <xf numFmtId="0" fontId="22" fillId="0" borderId="34" xfId="0" applyFont="1" applyBorder="1" applyAlignment="1" applyProtection="1">
      <alignment horizontal="left" vertical="center" wrapText="1"/>
      <protection locked="0"/>
    </xf>
    <xf numFmtId="0" fontId="22" fillId="0" borderId="35" xfId="0" applyFont="1" applyBorder="1" applyAlignment="1" applyProtection="1">
      <alignment horizontal="left" vertical="center" wrapText="1"/>
      <protection locked="0"/>
    </xf>
    <xf numFmtId="0" fontId="22" fillId="0" borderId="44" xfId="0" applyFont="1" applyBorder="1" applyAlignment="1" applyProtection="1">
      <alignment horizontal="left" vertical="center" wrapText="1"/>
      <protection locked="0"/>
    </xf>
    <xf numFmtId="0" fontId="21" fillId="0" borderId="26" xfId="0" applyFont="1" applyBorder="1" applyAlignment="1" applyProtection="1">
      <alignment horizontal="center" vertical="center" wrapText="1"/>
      <protection locked="0"/>
    </xf>
    <xf numFmtId="0" fontId="22" fillId="0" borderId="26" xfId="0" applyFont="1" applyBorder="1" applyAlignment="1" applyProtection="1">
      <alignment horizontal="center" vertical="center" wrapText="1"/>
      <protection hidden="1"/>
    </xf>
    <xf numFmtId="0" fontId="22" fillId="0" borderId="42" xfId="0" applyFont="1" applyBorder="1" applyAlignment="1" applyProtection="1">
      <alignment horizontal="center" vertical="center" wrapText="1"/>
      <protection hidden="1"/>
    </xf>
    <xf numFmtId="0" fontId="13" fillId="4" borderId="37" xfId="0" applyFont="1" applyFill="1" applyBorder="1" applyAlignment="1" applyProtection="1">
      <alignment horizontal="center" vertical="center" wrapText="1"/>
      <protection hidden="1"/>
    </xf>
    <xf numFmtId="0" fontId="13" fillId="4" borderId="30" xfId="0" applyFont="1" applyFill="1" applyBorder="1" applyAlignment="1" applyProtection="1">
      <alignment horizontal="center" vertical="center" wrapText="1"/>
      <protection hidden="1"/>
    </xf>
    <xf numFmtId="0" fontId="13" fillId="4" borderId="38" xfId="0" applyFont="1" applyFill="1" applyBorder="1" applyAlignment="1" applyProtection="1">
      <alignment horizontal="center" vertical="center" wrapText="1"/>
      <protection hidden="1"/>
    </xf>
    <xf numFmtId="0" fontId="22" fillId="0" borderId="30" xfId="0" applyFont="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22" fillId="0" borderId="28" xfId="0" applyFont="1" applyBorder="1" applyAlignment="1" applyProtection="1">
      <alignment horizontal="center" vertical="center" wrapText="1"/>
      <protection hidden="1"/>
    </xf>
    <xf numFmtId="0" fontId="13" fillId="4" borderId="39" xfId="0" applyFont="1" applyFill="1" applyBorder="1" applyAlignment="1" applyProtection="1">
      <alignment horizontal="center" vertical="center" wrapText="1"/>
      <protection hidden="1"/>
    </xf>
    <xf numFmtId="0" fontId="12" fillId="0" borderId="13" xfId="0" applyFont="1" applyBorder="1" applyAlignment="1" applyProtection="1">
      <alignment horizontal="center" vertical="center" wrapText="1"/>
      <protection hidden="1"/>
    </xf>
    <xf numFmtId="0" fontId="13" fillId="4" borderId="39" xfId="0" applyFont="1" applyFill="1" applyBorder="1" applyAlignment="1" applyProtection="1">
      <alignment horizontal="left" vertical="center" wrapText="1"/>
      <protection hidden="1"/>
    </xf>
    <xf numFmtId="0" fontId="13" fillId="4" borderId="40" xfId="0" applyFont="1" applyFill="1" applyBorder="1" applyAlignment="1" applyProtection="1">
      <alignment horizontal="left" vertical="center" wrapText="1"/>
      <protection hidden="1"/>
    </xf>
    <xf numFmtId="0" fontId="24" fillId="0" borderId="41" xfId="0" applyFont="1" applyBorder="1" applyAlignment="1" applyProtection="1">
      <alignment horizontal="left" vertical="center" wrapText="1"/>
      <protection locked="0"/>
    </xf>
    <xf numFmtId="0" fontId="24" fillId="0" borderId="2" xfId="0" applyFont="1" applyBorder="1" applyAlignment="1" applyProtection="1">
      <alignment horizontal="left" vertical="center" wrapText="1"/>
      <protection locked="0"/>
    </xf>
    <xf numFmtId="0" fontId="24" fillId="0" borderId="3" xfId="0" applyFont="1" applyBorder="1" applyAlignment="1" applyProtection="1">
      <alignment horizontal="left" vertical="center" wrapText="1"/>
      <protection locked="0"/>
    </xf>
    <xf numFmtId="0" fontId="24" fillId="0" borderId="32" xfId="0" applyFont="1" applyBorder="1" applyAlignment="1" applyProtection="1">
      <alignment horizontal="left" vertical="center" wrapText="1"/>
      <protection locked="0"/>
    </xf>
    <xf numFmtId="0" fontId="24" fillId="0" borderId="0" xfId="0" applyFont="1" applyAlignment="1" applyProtection="1">
      <alignment horizontal="left" vertical="center" wrapText="1"/>
      <protection locked="0"/>
    </xf>
    <xf numFmtId="0" fontId="24" fillId="0" borderId="5" xfId="0" applyFont="1" applyBorder="1" applyAlignment="1" applyProtection="1">
      <alignment horizontal="left" vertical="center" wrapText="1"/>
      <protection locked="0"/>
    </xf>
    <xf numFmtId="0" fontId="24" fillId="0" borderId="34" xfId="0" applyFont="1" applyBorder="1" applyAlignment="1" applyProtection="1">
      <alignment horizontal="left" vertical="center" wrapText="1"/>
      <protection locked="0"/>
    </xf>
    <xf numFmtId="0" fontId="24" fillId="0" borderId="35" xfId="0" applyFont="1" applyBorder="1" applyAlignment="1" applyProtection="1">
      <alignment horizontal="left" vertical="center" wrapText="1"/>
      <protection locked="0"/>
    </xf>
    <xf numFmtId="0" fontId="24" fillId="0" borderId="44" xfId="0" applyFont="1" applyBorder="1" applyAlignment="1" applyProtection="1">
      <alignment horizontal="left" vertical="center" wrapText="1"/>
      <protection locked="0"/>
    </xf>
    <xf numFmtId="0" fontId="21" fillId="0" borderId="41" xfId="0" applyFont="1" applyBorder="1" applyAlignment="1" applyProtection="1">
      <alignment horizontal="left" vertical="center" wrapText="1"/>
      <protection locked="0"/>
    </xf>
    <xf numFmtId="0" fontId="21" fillId="0" borderId="2" xfId="0" applyFont="1" applyBorder="1" applyAlignment="1" applyProtection="1">
      <alignment horizontal="left" vertical="center" wrapText="1"/>
      <protection locked="0"/>
    </xf>
    <xf numFmtId="0" fontId="21" fillId="0" borderId="3" xfId="0" applyFont="1" applyBorder="1" applyAlignment="1" applyProtection="1">
      <alignment horizontal="left" vertical="center" wrapText="1"/>
      <protection locked="0"/>
    </xf>
    <xf numFmtId="0" fontId="21" fillId="0" borderId="32" xfId="0" applyFont="1" applyBorder="1" applyAlignment="1" applyProtection="1">
      <alignment horizontal="left" vertical="center" wrapText="1"/>
      <protection locked="0"/>
    </xf>
    <xf numFmtId="0" fontId="21" fillId="0" borderId="0" xfId="0" applyFont="1" applyAlignment="1" applyProtection="1">
      <alignment horizontal="left" vertical="center" wrapText="1"/>
      <protection locked="0"/>
    </xf>
    <xf numFmtId="0" fontId="21" fillId="0" borderId="5" xfId="0" applyFont="1" applyBorder="1" applyAlignment="1" applyProtection="1">
      <alignment horizontal="left" vertical="center" wrapText="1"/>
      <protection locked="0"/>
    </xf>
    <xf numFmtId="0" fontId="21" fillId="0" borderId="34" xfId="0" applyFont="1" applyBorder="1" applyAlignment="1" applyProtection="1">
      <alignment horizontal="left" vertical="center" wrapText="1"/>
      <protection locked="0"/>
    </xf>
    <xf numFmtId="0" fontId="21" fillId="0" borderId="35" xfId="0" applyFont="1" applyBorder="1" applyAlignment="1" applyProtection="1">
      <alignment horizontal="left" vertical="center" wrapText="1"/>
      <protection locked="0"/>
    </xf>
    <xf numFmtId="0" fontId="21" fillId="0" borderId="44" xfId="0" applyFont="1" applyBorder="1" applyAlignment="1" applyProtection="1">
      <alignment horizontal="left" vertical="center" wrapText="1"/>
      <protection locked="0"/>
    </xf>
    <xf numFmtId="0" fontId="22" fillId="0" borderId="2" xfId="0" applyFont="1" applyBorder="1" applyAlignment="1" applyProtection="1">
      <alignment horizontal="center" vertical="center" wrapText="1"/>
      <protection hidden="1"/>
    </xf>
    <xf numFmtId="0" fontId="13" fillId="4" borderId="10" xfId="0" applyFont="1" applyFill="1" applyBorder="1" applyAlignment="1" applyProtection="1">
      <alignment horizontal="left" vertical="center" wrapText="1"/>
      <protection hidden="1"/>
    </xf>
    <xf numFmtId="0" fontId="13" fillId="4" borderId="11" xfId="0" applyFont="1" applyFill="1" applyBorder="1" applyAlignment="1" applyProtection="1">
      <alignment horizontal="left" vertical="center" wrapText="1"/>
      <protection hidden="1"/>
    </xf>
    <xf numFmtId="0" fontId="22" fillId="0" borderId="27" xfId="0" applyFont="1" applyBorder="1" applyAlignment="1" applyProtection="1">
      <alignment horizontal="center" vertical="center" wrapText="1"/>
      <protection hidden="1"/>
    </xf>
    <xf numFmtId="0" fontId="13" fillId="4" borderId="10" xfId="0" applyFont="1" applyFill="1" applyBorder="1" applyAlignment="1" applyProtection="1">
      <alignment horizontal="center" vertical="center" wrapText="1"/>
      <protection hidden="1"/>
    </xf>
    <xf numFmtId="0" fontId="10" fillId="0" borderId="1" xfId="0" applyFont="1" applyBorder="1" applyAlignment="1" applyProtection="1">
      <alignment horizontal="left" vertical="center" wrapText="1"/>
      <protection hidden="1"/>
    </xf>
    <xf numFmtId="0" fontId="10" fillId="0" borderId="2" xfId="0" applyFont="1" applyBorder="1" applyAlignment="1" applyProtection="1">
      <alignment horizontal="left" vertical="center" wrapText="1"/>
      <protection hidden="1"/>
    </xf>
    <xf numFmtId="0" fontId="10" fillId="0" borderId="6" xfId="0" applyFont="1" applyBorder="1" applyAlignment="1" applyProtection="1">
      <alignment horizontal="left" vertical="center" wrapText="1"/>
      <protection hidden="1"/>
    </xf>
    <xf numFmtId="0" fontId="10" fillId="0" borderId="7" xfId="0" applyFont="1" applyBorder="1" applyAlignment="1" applyProtection="1">
      <alignment horizontal="left" vertical="center" wrapText="1"/>
      <protection hidden="1"/>
    </xf>
    <xf numFmtId="0" fontId="24" fillId="0" borderId="1" xfId="0" applyFont="1" applyBorder="1" applyAlignment="1" applyProtection="1">
      <alignment horizontal="left" vertical="center" wrapText="1"/>
      <protection locked="0"/>
    </xf>
    <xf numFmtId="0" fontId="24" fillId="0" borderId="6" xfId="0" applyFont="1" applyBorder="1" applyAlignment="1" applyProtection="1">
      <alignment horizontal="left" vertical="center" wrapText="1"/>
      <protection locked="0"/>
    </xf>
    <xf numFmtId="0" fontId="24" fillId="0" borderId="7" xfId="0" applyFont="1" applyBorder="1" applyAlignment="1" applyProtection="1">
      <alignment horizontal="left" vertical="center" wrapText="1"/>
      <protection locked="0"/>
    </xf>
    <xf numFmtId="0" fontId="24" fillId="0" borderId="8" xfId="0" applyFont="1" applyBorder="1" applyAlignment="1" applyProtection="1">
      <alignment horizontal="left" vertical="center" wrapText="1"/>
      <protection locked="0"/>
    </xf>
    <xf numFmtId="0" fontId="32" fillId="0" borderId="1" xfId="0" applyFont="1" applyBorder="1" applyAlignment="1" applyProtection="1">
      <alignment horizontal="left" vertical="center" wrapText="1"/>
      <protection hidden="1"/>
    </xf>
    <xf numFmtId="0" fontId="32" fillId="0" borderId="2" xfId="0" applyFont="1" applyBorder="1" applyAlignment="1" applyProtection="1">
      <alignment horizontal="left" vertical="center" wrapText="1"/>
      <protection hidden="1"/>
    </xf>
    <xf numFmtId="0" fontId="32" fillId="0" borderId="3" xfId="0" applyFont="1" applyBorder="1" applyAlignment="1" applyProtection="1">
      <alignment horizontal="left" vertical="center" wrapText="1"/>
      <protection hidden="1"/>
    </xf>
    <xf numFmtId="0" fontId="7" fillId="4" borderId="6" xfId="0" applyFont="1" applyFill="1" applyBorder="1" applyAlignment="1" applyProtection="1">
      <alignment horizontal="left"/>
      <protection locked="0" hidden="1"/>
    </xf>
    <xf numFmtId="0" fontId="7" fillId="4" borderId="7" xfId="0" applyFont="1" applyFill="1" applyBorder="1" applyAlignment="1" applyProtection="1">
      <alignment horizontal="left"/>
      <protection locked="0" hidden="1"/>
    </xf>
    <xf numFmtId="0" fontId="7" fillId="4" borderId="8" xfId="0" applyFont="1" applyFill="1" applyBorder="1" applyAlignment="1" applyProtection="1">
      <alignment horizontal="left"/>
      <protection locked="0" hidden="1"/>
    </xf>
    <xf numFmtId="0" fontId="13" fillId="0" borderId="1" xfId="0" applyFont="1" applyBorder="1" applyAlignment="1" applyProtection="1">
      <alignment horizontal="left" vertical="center" wrapText="1"/>
      <protection hidden="1"/>
    </xf>
    <xf numFmtId="0" fontId="13" fillId="0" borderId="2" xfId="0" applyFont="1" applyBorder="1" applyAlignment="1" applyProtection="1">
      <alignment horizontal="left" vertical="center" wrapText="1"/>
      <protection hidden="1"/>
    </xf>
    <xf numFmtId="0" fontId="13" fillId="0" borderId="3" xfId="0" applyFont="1" applyBorder="1" applyAlignment="1" applyProtection="1">
      <alignment horizontal="left" vertical="center" wrapText="1"/>
      <protection hidden="1"/>
    </xf>
    <xf numFmtId="0" fontId="31" fillId="0" borderId="13" xfId="0" applyFont="1" applyBorder="1" applyAlignment="1" applyProtection="1">
      <alignment horizontal="center" vertical="center" wrapText="1"/>
      <protection hidden="1"/>
    </xf>
    <xf numFmtId="0" fontId="13" fillId="0" borderId="13" xfId="0" applyFont="1" applyBorder="1" applyAlignment="1" applyProtection="1">
      <alignment horizontal="left" vertical="center" wrapText="1"/>
      <protection hidden="1"/>
    </xf>
    <xf numFmtId="0" fontId="18" fillId="0" borderId="4" xfId="0" applyFont="1" applyBorder="1" applyAlignment="1" applyProtection="1">
      <alignment horizontal="left" vertical="center" wrapText="1"/>
      <protection hidden="1"/>
    </xf>
    <xf numFmtId="0" fontId="18" fillId="0" borderId="0" xfId="0" applyFont="1" applyAlignment="1" applyProtection="1">
      <alignment horizontal="left" vertical="center" wrapText="1"/>
      <protection hidden="1"/>
    </xf>
    <xf numFmtId="0" fontId="18" fillId="0" borderId="5" xfId="0" applyFont="1" applyBorder="1" applyAlignment="1" applyProtection="1">
      <alignment horizontal="left" vertical="center" wrapText="1"/>
      <protection hidden="1"/>
    </xf>
    <xf numFmtId="0" fontId="18" fillId="0" borderId="6" xfId="0" applyFont="1" applyBorder="1" applyAlignment="1" applyProtection="1">
      <alignment horizontal="left" vertical="center" wrapText="1"/>
      <protection hidden="1"/>
    </xf>
    <xf numFmtId="0" fontId="18" fillId="0" borderId="7" xfId="0" applyFont="1" applyBorder="1" applyAlignment="1" applyProtection="1">
      <alignment horizontal="left" vertical="center" wrapText="1"/>
      <protection hidden="1"/>
    </xf>
    <xf numFmtId="0" fontId="18" fillId="0" borderId="8" xfId="0" applyFont="1" applyBorder="1" applyAlignment="1" applyProtection="1">
      <alignment horizontal="left" vertical="center" wrapText="1"/>
      <protection hidden="1"/>
    </xf>
    <xf numFmtId="0" fontId="1" fillId="6" borderId="25" xfId="0" applyFont="1" applyFill="1" applyBorder="1" applyAlignment="1">
      <alignment horizontal="left"/>
    </xf>
    <xf numFmtId="0" fontId="1" fillId="0" borderId="25" xfId="0" applyFont="1" applyBorder="1" applyAlignment="1">
      <alignment horizontal="left"/>
    </xf>
    <xf numFmtId="0" fontId="1" fillId="6" borderId="45" xfId="0" applyFont="1" applyFill="1" applyBorder="1"/>
    <xf numFmtId="0" fontId="1" fillId="6" borderId="25" xfId="0" applyFont="1" applyFill="1" applyBorder="1"/>
    <xf numFmtId="0" fontId="39" fillId="0" borderId="25" xfId="0" applyFont="1" applyBorder="1"/>
    <xf numFmtId="0" fontId="1" fillId="6" borderId="45" xfId="0" applyFont="1" applyFill="1" applyBorder="1" applyAlignment="1">
      <alignment horizontal="left"/>
    </xf>
    <xf numFmtId="15" fontId="1" fillId="6" borderId="25" xfId="0" applyNumberFormat="1" applyFont="1" applyFill="1" applyBorder="1" applyAlignment="1">
      <alignment horizontal="left"/>
    </xf>
    <xf numFmtId="0" fontId="1" fillId="0" borderId="25" xfId="0" applyFont="1" applyFill="1" applyBorder="1" applyAlignment="1">
      <alignment horizontal="left"/>
    </xf>
    <xf numFmtId="15" fontId="1" fillId="0" borderId="25" xfId="0" applyNumberFormat="1" applyFont="1" applyFill="1" applyBorder="1" applyAlignment="1">
      <alignment horizontal="left"/>
    </xf>
    <xf numFmtId="0" fontId="38" fillId="0" borderId="25" xfId="0" applyFont="1" applyBorder="1" applyAlignment="1">
      <alignment horizontal="center"/>
    </xf>
    <xf numFmtId="0" fontId="38" fillId="0" borderId="25" xfId="0" applyFont="1" applyBorder="1" applyAlignment="1">
      <alignment horizontal="left"/>
    </xf>
    <xf numFmtId="15" fontId="38" fillId="0" borderId="25" xfId="0" applyNumberFormat="1" applyFont="1" applyBorder="1" applyAlignment="1">
      <alignment horizontal="left"/>
    </xf>
    <xf numFmtId="0" fontId="0" fillId="0" borderId="25" xfId="0" applyBorder="1" applyAlignment="1">
      <alignment horizontal="right"/>
    </xf>
    <xf numFmtId="0" fontId="1" fillId="0" borderId="46" xfId="0" applyFont="1" applyBorder="1"/>
    <xf numFmtId="0" fontId="1" fillId="0" borderId="25" xfId="0" applyFont="1" applyBorder="1"/>
    <xf numFmtId="0" fontId="1" fillId="0" borderId="46" xfId="0" applyFont="1" applyBorder="1" applyAlignment="1">
      <alignment horizontal="left"/>
    </xf>
    <xf numFmtId="0" fontId="36" fillId="0" borderId="47" xfId="5" applyFont="1" applyFill="1" applyBorder="1"/>
    <xf numFmtId="0" fontId="0" fillId="0" borderId="45" xfId="0" applyBorder="1"/>
    <xf numFmtId="0" fontId="1" fillId="0" borderId="45" xfId="0" applyFont="1" applyBorder="1"/>
    <xf numFmtId="0" fontId="1" fillId="0" borderId="45" xfId="0" applyFont="1" applyBorder="1" applyAlignment="1">
      <alignment horizontal="left"/>
    </xf>
    <xf numFmtId="0" fontId="37" fillId="0" borderId="45" xfId="0" applyFont="1" applyBorder="1" applyAlignment="1">
      <alignment horizontal="center"/>
    </xf>
    <xf numFmtId="0" fontId="36" fillId="0" borderId="25" xfId="5" applyFont="1" applyFill="1" applyBorder="1"/>
    <xf numFmtId="17" fontId="1" fillId="0" borderId="25" xfId="0" applyNumberFormat="1" applyFont="1" applyBorder="1" applyAlignment="1">
      <alignment horizontal="left"/>
    </xf>
  </cellXfs>
  <cellStyles count="7">
    <cellStyle name="Accent5" xfId="2" builtinId="45"/>
    <cellStyle name="Comma" xfId="3" builtinId="3"/>
    <cellStyle name="Comma 2" xfId="6" xr:uid="{00000000-0005-0000-0000-000002000000}"/>
    <cellStyle name="Normal" xfId="0" builtinId="0"/>
    <cellStyle name="Normal 5 2 2 2" xfId="5" xr:uid="{00000000-0005-0000-0000-000004000000}"/>
    <cellStyle name="Normal 6" xfId="4" xr:uid="{00000000-0005-0000-0000-000005000000}"/>
    <cellStyle name="Percent" xfId="1" builtinId="5"/>
  </cellStyles>
  <dxfs count="1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
      <font>
        <color rgb="FF006100"/>
      </font>
      <fill>
        <patternFill>
          <bgColor rgb="FFC6EFCE"/>
        </patternFill>
      </fill>
    </dxf>
    <dxf>
      <fill>
        <patternFill>
          <bgColor theme="2" tint="-9.9948118533890809E-2"/>
        </patternFill>
      </fill>
    </dxf>
    <dxf>
      <fill>
        <patternFill>
          <bgColor theme="7" tint="0.59996337778862885"/>
        </patternFill>
      </fill>
    </dxf>
    <dxf>
      <font>
        <color rgb="FF9C6500"/>
      </font>
      <fill>
        <patternFill>
          <bgColor rgb="FFFFEB9C"/>
        </patternFill>
      </fill>
    </dxf>
    <dxf>
      <fill>
        <patternFill>
          <bgColor rgb="FFFF0000"/>
        </patternFill>
      </fill>
    </dxf>
    <dxf>
      <font>
        <color rgb="FF9C6500"/>
      </font>
      <fill>
        <patternFill>
          <bgColor rgb="FFFFEB9C"/>
        </patternFill>
      </fill>
    </dxf>
    <dxf>
      <fill>
        <patternFill>
          <bgColor rgb="FF33CCFF"/>
        </patternFill>
      </fill>
    </dxf>
  </dxfs>
  <tableStyles count="0" defaultTableStyle="TableStyleMedium2" defaultPivotStyle="PivotStyleLight16"/>
  <colors>
    <mruColors>
      <color rgb="FF33C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1</xdr:row>
      <xdr:rowOff>19050</xdr:rowOff>
    </xdr:from>
    <xdr:to>
      <xdr:col>4</xdr:col>
      <xdr:colOff>76200</xdr:colOff>
      <xdr:row>4</xdr:row>
      <xdr:rowOff>160097</xdr:rowOff>
    </xdr:to>
    <xdr:pic>
      <xdr:nvPicPr>
        <xdr:cNvPr id="7" name="Picture 6">
          <a:extLst>
            <a:ext uri="{FF2B5EF4-FFF2-40B4-BE49-F238E27FC236}">
              <a16:creationId xmlns:a16="http://schemas.microsoft.com/office/drawing/2014/main" id="{6101A058-75FB-4552-A121-011D07C5A8CF}"/>
            </a:ext>
          </a:extLst>
        </xdr:cNvPr>
        <xdr:cNvPicPr>
          <a:picLocks noChangeAspect="1"/>
        </xdr:cNvPicPr>
      </xdr:nvPicPr>
      <xdr:blipFill>
        <a:blip xmlns:r="http://schemas.openxmlformats.org/officeDocument/2006/relationships" r:embed="rId1"/>
        <a:stretch>
          <a:fillRect/>
        </a:stretch>
      </xdr:blipFill>
      <xdr:spPr>
        <a:xfrm>
          <a:off x="114300" y="114300"/>
          <a:ext cx="1343025" cy="883997"/>
        </a:xfrm>
        <a:prstGeom prst="rect">
          <a:avLst/>
        </a:prstGeom>
      </xdr:spPr>
    </xdr:pic>
    <xdr:clientData/>
  </xdr:twoCellAnchor>
  <xdr:twoCellAnchor editAs="oneCell">
    <xdr:from>
      <xdr:col>2</xdr:col>
      <xdr:colOff>1</xdr:colOff>
      <xdr:row>6</xdr:row>
      <xdr:rowOff>145726</xdr:rowOff>
    </xdr:from>
    <xdr:to>
      <xdr:col>4</xdr:col>
      <xdr:colOff>152401</xdr:colOff>
      <xdr:row>7</xdr:row>
      <xdr:rowOff>203880</xdr:rowOff>
    </xdr:to>
    <xdr:pic>
      <xdr:nvPicPr>
        <xdr:cNvPr id="8" name="Picture 7">
          <a:extLst>
            <a:ext uri="{FF2B5EF4-FFF2-40B4-BE49-F238E27FC236}">
              <a16:creationId xmlns:a16="http://schemas.microsoft.com/office/drawing/2014/main" id="{77D6370A-585D-4583-84B1-9419DEF1AFD6}"/>
            </a:ext>
          </a:extLst>
        </xdr:cNvPr>
        <xdr:cNvPicPr>
          <a:picLocks noChangeAspect="1"/>
        </xdr:cNvPicPr>
      </xdr:nvPicPr>
      <xdr:blipFill>
        <a:blip xmlns:r="http://schemas.openxmlformats.org/officeDocument/2006/relationships" r:embed="rId2"/>
        <a:stretch>
          <a:fillRect/>
        </a:stretch>
      </xdr:blipFill>
      <xdr:spPr>
        <a:xfrm>
          <a:off x="161926" y="1374451"/>
          <a:ext cx="1371600" cy="3724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D107"/>
  <sheetViews>
    <sheetView showGridLines="0" tabSelected="1" view="pageBreakPreview" zoomScaleNormal="100" zoomScaleSheetLayoutView="100" workbookViewId="0">
      <selection activeCell="C36" sqref="C36:E41"/>
    </sheetView>
  </sheetViews>
  <sheetFormatPr defaultRowHeight="14.25"/>
  <cols>
    <col min="1" max="1" width="1.140625" style="65" customWidth="1"/>
    <col min="2" max="2" width="1.28515625" style="65" customWidth="1"/>
    <col min="3" max="4" width="9.140625" style="65"/>
    <col min="5" max="5" width="3.7109375" style="65" customWidth="1"/>
    <col min="6" max="6" width="41.42578125" style="65" customWidth="1"/>
    <col min="7" max="7" width="0.7109375" style="65" customWidth="1"/>
    <col min="8" max="8" width="6.7109375" style="65" customWidth="1"/>
    <col min="9" max="9" width="0.5703125" style="65" customWidth="1"/>
    <col min="10" max="10" width="34.28515625" style="65" customWidth="1"/>
    <col min="11" max="11" width="0.5703125" style="65" customWidth="1"/>
    <col min="12" max="12" width="9.140625" style="65"/>
    <col min="13" max="13" width="1.140625" style="65" customWidth="1"/>
    <col min="14" max="14" width="22.7109375" style="65" customWidth="1"/>
    <col min="15" max="15" width="0.7109375" style="65" customWidth="1"/>
    <col min="16" max="16" width="6.7109375" style="65" customWidth="1"/>
    <col min="17" max="17" width="0.7109375" style="65" customWidth="1"/>
    <col min="18" max="18" width="7.85546875" style="65" customWidth="1"/>
    <col min="19" max="19" width="0.85546875" style="65" customWidth="1"/>
    <col min="20" max="20" width="6.28515625" style="65" customWidth="1"/>
    <col min="21" max="21" width="0.7109375" style="65" customWidth="1"/>
    <col min="22" max="22" width="6.85546875" style="65" customWidth="1"/>
    <col min="23" max="23" width="0.7109375" style="65" customWidth="1"/>
    <col min="24" max="24" width="11.42578125" style="65" customWidth="1"/>
    <col min="25" max="25" width="2.140625" style="65" customWidth="1"/>
    <col min="26" max="26" width="0.85546875" style="65" customWidth="1"/>
    <col min="27" max="27" width="0.5703125" style="65" customWidth="1"/>
    <col min="28" max="30" width="9.140625" style="65" hidden="1" customWidth="1"/>
    <col min="31" max="16384" width="9.140625" style="65"/>
  </cols>
  <sheetData>
    <row r="1" spans="2:27" s="49" customFormat="1" ht="7.5" customHeight="1" thickBot="1"/>
    <row r="2" spans="2:27" s="49" customFormat="1" ht="31.5" customHeight="1">
      <c r="B2" s="50"/>
      <c r="C2" s="51"/>
      <c r="D2" s="51"/>
      <c r="E2" s="51"/>
      <c r="F2" s="138" t="s">
        <v>272</v>
      </c>
      <c r="G2" s="138"/>
      <c r="H2" s="138"/>
      <c r="I2" s="138"/>
      <c r="J2" s="138"/>
      <c r="K2" s="138"/>
      <c r="L2" s="138"/>
      <c r="M2" s="138"/>
      <c r="N2" s="138"/>
      <c r="O2" s="138"/>
      <c r="P2" s="138"/>
      <c r="Q2" s="138"/>
      <c r="R2" s="138"/>
      <c r="S2" s="138"/>
      <c r="T2" s="138"/>
      <c r="U2" s="138"/>
      <c r="V2" s="138"/>
      <c r="W2" s="138"/>
      <c r="X2" s="138"/>
      <c r="Y2" s="138"/>
      <c r="Z2" s="138"/>
      <c r="AA2" s="52"/>
    </row>
    <row r="3" spans="2:27" s="49" customFormat="1" ht="11.25" customHeight="1" thickBot="1">
      <c r="B3" s="53"/>
      <c r="AA3" s="54"/>
    </row>
    <row r="4" spans="2:27" s="96" customFormat="1" thickBot="1">
      <c r="B4" s="95"/>
      <c r="F4" s="99" t="s">
        <v>3</v>
      </c>
      <c r="G4" s="100"/>
      <c r="H4" s="139" t="s">
        <v>5</v>
      </c>
      <c r="I4" s="139"/>
      <c r="J4" s="139"/>
      <c r="K4" s="139"/>
      <c r="L4" s="139"/>
      <c r="M4" s="100"/>
      <c r="N4" s="139" t="s">
        <v>6</v>
      </c>
      <c r="O4" s="139"/>
      <c r="P4" s="139"/>
      <c r="Q4" s="139"/>
      <c r="R4" s="139"/>
      <c r="S4" s="139"/>
      <c r="T4" s="139"/>
      <c r="U4" s="139"/>
      <c r="V4" s="139"/>
      <c r="W4" s="100"/>
      <c r="X4" s="139" t="s">
        <v>7</v>
      </c>
      <c r="Y4" s="139"/>
      <c r="Z4" s="140"/>
      <c r="AA4" s="97"/>
    </row>
    <row r="5" spans="2:27" s="49" customFormat="1" ht="24.95" customHeight="1" thickTop="1">
      <c r="B5" s="53"/>
      <c r="F5" s="129">
        <v>260301</v>
      </c>
      <c r="G5" s="14"/>
      <c r="H5" s="141" t="str">
        <f>VLOOKUP($F5,Sheet1!$A:$F,2,0)</f>
        <v>EMMANUEL VICTOR OKON</v>
      </c>
      <c r="I5" s="141"/>
      <c r="J5" s="141"/>
      <c r="K5" s="141"/>
      <c r="L5" s="141"/>
      <c r="M5" s="14"/>
      <c r="N5" s="141" t="str">
        <f>VLOOKUP($F5,Sheet1!$A:$F,3,0)</f>
        <v>Head of Operations Lagos</v>
      </c>
      <c r="O5" s="141"/>
      <c r="P5" s="141"/>
      <c r="Q5" s="141"/>
      <c r="R5" s="141"/>
      <c r="S5" s="141"/>
      <c r="T5" s="141"/>
      <c r="U5" s="141"/>
      <c r="V5" s="141"/>
      <c r="W5" s="14"/>
      <c r="X5" s="142" t="str">
        <f>VLOOKUP($F5,Sheet1!$A:$F,4,0)</f>
        <v>-</v>
      </c>
      <c r="Y5" s="142"/>
      <c r="Z5" s="143"/>
      <c r="AA5" s="54"/>
    </row>
    <row r="6" spans="2:27" s="49" customFormat="1" ht="6" customHeight="1">
      <c r="B6" s="53"/>
      <c r="F6" s="101"/>
      <c r="G6" s="13"/>
      <c r="H6" s="13"/>
      <c r="I6" s="13"/>
      <c r="J6" s="13"/>
      <c r="K6" s="13"/>
      <c r="L6" s="13"/>
      <c r="M6" s="13"/>
      <c r="N6" s="13"/>
      <c r="O6" s="13"/>
      <c r="P6" s="13"/>
      <c r="Q6" s="13"/>
      <c r="R6" s="13"/>
      <c r="S6" s="13"/>
      <c r="T6" s="13"/>
      <c r="U6" s="13"/>
      <c r="V6" s="13"/>
      <c r="W6" s="13"/>
      <c r="X6" s="13"/>
      <c r="Y6" s="13"/>
      <c r="Z6" s="102"/>
      <c r="AA6" s="54"/>
    </row>
    <row r="7" spans="2:27" s="96" customFormat="1" ht="24.75" customHeight="1">
      <c r="B7" s="95"/>
      <c r="F7" s="103" t="s">
        <v>35</v>
      </c>
      <c r="G7" s="98"/>
      <c r="H7" s="130" t="s">
        <v>4</v>
      </c>
      <c r="I7" s="130"/>
      <c r="J7" s="130"/>
      <c r="K7" s="130"/>
      <c r="L7" s="130"/>
      <c r="M7" s="98"/>
      <c r="N7" s="98" t="s">
        <v>46</v>
      </c>
      <c r="O7" s="98"/>
      <c r="P7" s="98"/>
      <c r="Q7" s="98"/>
      <c r="R7" s="131" t="s">
        <v>69</v>
      </c>
      <c r="S7" s="131"/>
      <c r="T7" s="131"/>
      <c r="U7" s="131"/>
      <c r="V7" s="131"/>
      <c r="W7" s="98"/>
      <c r="X7" s="130" t="s">
        <v>8</v>
      </c>
      <c r="Y7" s="130"/>
      <c r="Z7" s="132"/>
      <c r="AA7" s="97"/>
    </row>
    <row r="8" spans="2:27" s="49" customFormat="1" ht="24.95" customHeight="1" thickBot="1">
      <c r="B8" s="53"/>
      <c r="F8" s="104">
        <f>VLOOKUP($F5,Sheet1!$A:$F,5,0)</f>
        <v>44378</v>
      </c>
      <c r="G8" s="105"/>
      <c r="H8" s="133" t="str">
        <f>VLOOKUP($F5,Sheet1!$A:$F,6,0)</f>
        <v>Fleet</v>
      </c>
      <c r="I8" s="133"/>
      <c r="J8" s="133"/>
      <c r="K8" s="133"/>
      <c r="L8" s="133"/>
      <c r="M8" s="105"/>
      <c r="N8" s="134" t="e">
        <f>VLOOKUP(F5,Sheet1!A:F,7,0)</f>
        <v>#REF!</v>
      </c>
      <c r="O8" s="134"/>
      <c r="P8" s="134"/>
      <c r="Q8" s="106"/>
      <c r="R8" s="135">
        <v>46023</v>
      </c>
      <c r="S8" s="135"/>
      <c r="T8" s="135"/>
      <c r="U8" s="135"/>
      <c r="V8" s="135"/>
      <c r="W8" s="107"/>
      <c r="X8" s="136">
        <v>46112</v>
      </c>
      <c r="Y8" s="136"/>
      <c r="Z8" s="137"/>
      <c r="AA8" s="54"/>
    </row>
    <row r="9" spans="2:27" s="49" customFormat="1" ht="9.75" customHeight="1" thickBot="1">
      <c r="B9" s="55"/>
      <c r="C9" s="56"/>
      <c r="D9" s="56"/>
      <c r="E9" s="56"/>
      <c r="F9" s="56"/>
      <c r="G9" s="56"/>
      <c r="H9" s="56"/>
      <c r="I9" s="56"/>
      <c r="J9" s="56"/>
      <c r="K9" s="56"/>
      <c r="L9" s="56"/>
      <c r="M9" s="56"/>
      <c r="N9" s="56"/>
      <c r="O9" s="56"/>
      <c r="P9" s="56"/>
      <c r="Q9" s="56"/>
      <c r="R9" s="56"/>
      <c r="S9" s="56"/>
      <c r="T9" s="56"/>
      <c r="U9" s="56"/>
      <c r="V9" s="56"/>
      <c r="W9" s="56"/>
      <c r="X9" s="56"/>
      <c r="Y9" s="56"/>
      <c r="Z9" s="56"/>
      <c r="AA9" s="57"/>
    </row>
    <row r="10" spans="2:27" s="49" customFormat="1" ht="6" customHeight="1" thickBot="1"/>
    <row r="11" spans="2:27" s="49" customFormat="1" ht="7.5" customHeight="1" thickBot="1">
      <c r="B11" s="50"/>
      <c r="C11" s="51"/>
      <c r="D11" s="51"/>
      <c r="E11" s="51"/>
      <c r="F11" s="51"/>
      <c r="G11" s="51"/>
      <c r="H11" s="51"/>
      <c r="I11" s="51"/>
      <c r="J11" s="51"/>
      <c r="K11" s="51"/>
      <c r="L11" s="51"/>
      <c r="M11" s="51"/>
      <c r="N11" s="51"/>
      <c r="O11" s="51"/>
      <c r="P11" s="51"/>
      <c r="Q11" s="51"/>
      <c r="R11" s="51"/>
      <c r="S11" s="51"/>
      <c r="T11" s="51"/>
      <c r="U11" s="51"/>
      <c r="V11" s="51"/>
      <c r="W11" s="51"/>
      <c r="X11" s="51"/>
      <c r="Y11" s="51"/>
      <c r="Z11" s="51"/>
      <c r="AA11" s="52"/>
    </row>
    <row r="12" spans="2:27" s="49" customFormat="1" ht="18.75" customHeight="1" thickBot="1">
      <c r="B12" s="58"/>
      <c r="C12" s="152" t="s">
        <v>36</v>
      </c>
      <c r="D12" s="153"/>
      <c r="E12" s="153"/>
      <c r="F12" s="154"/>
      <c r="G12" s="154"/>
      <c r="H12" s="154"/>
      <c r="I12" s="154"/>
      <c r="J12" s="154"/>
      <c r="K12" s="154"/>
      <c r="L12" s="154"/>
      <c r="M12" s="154"/>
      <c r="N12" s="154"/>
      <c r="O12" s="154"/>
      <c r="P12" s="154"/>
      <c r="Q12" s="154"/>
      <c r="R12" s="154"/>
      <c r="S12" s="154"/>
      <c r="T12" s="154"/>
      <c r="U12" s="154"/>
      <c r="V12" s="154"/>
      <c r="W12" s="154"/>
      <c r="X12" s="154"/>
      <c r="Y12" s="154"/>
      <c r="Z12" s="155"/>
      <c r="AA12" s="54"/>
    </row>
    <row r="13" spans="2:27" s="49" customFormat="1" ht="9.75" customHeight="1" thickBot="1">
      <c r="B13" s="55"/>
      <c r="C13" s="56"/>
      <c r="D13" s="56"/>
      <c r="E13" s="56"/>
      <c r="F13" s="56"/>
      <c r="G13" s="56"/>
      <c r="H13" s="56"/>
      <c r="I13" s="56"/>
      <c r="J13" s="56"/>
      <c r="K13" s="56"/>
      <c r="L13" s="56"/>
      <c r="M13" s="56"/>
      <c r="N13" s="56"/>
      <c r="O13" s="56"/>
      <c r="P13" s="56"/>
      <c r="Q13" s="56"/>
      <c r="R13" s="56"/>
      <c r="S13" s="56"/>
      <c r="T13" s="56"/>
      <c r="U13" s="56"/>
      <c r="V13" s="56"/>
      <c r="W13" s="56"/>
      <c r="X13" s="56"/>
      <c r="Y13" s="56"/>
      <c r="Z13" s="56"/>
      <c r="AA13" s="57"/>
    </row>
    <row r="14" spans="2:27" s="49" customFormat="1" ht="8.25" customHeight="1" thickBot="1"/>
    <row r="15" spans="2:27" s="49" customFormat="1" ht="7.5" customHeight="1" thickBot="1">
      <c r="B15" s="50"/>
      <c r="C15" s="51"/>
      <c r="D15" s="51"/>
      <c r="E15" s="51"/>
      <c r="F15" s="51"/>
      <c r="G15" s="51"/>
      <c r="H15" s="51"/>
      <c r="I15" s="51"/>
      <c r="J15" s="51"/>
      <c r="K15" s="51"/>
      <c r="L15" s="51"/>
      <c r="M15" s="51"/>
      <c r="N15" s="51"/>
      <c r="O15" s="51"/>
      <c r="P15" s="51"/>
      <c r="Q15" s="51"/>
      <c r="R15" s="51"/>
      <c r="S15" s="51"/>
      <c r="T15" s="51"/>
      <c r="U15" s="51"/>
      <c r="V15" s="51"/>
      <c r="W15" s="51"/>
      <c r="X15" s="51"/>
      <c r="Y15" s="51"/>
      <c r="Z15" s="51"/>
      <c r="AA15" s="52"/>
    </row>
    <row r="16" spans="2:27" s="61" customFormat="1" ht="20.25" customHeight="1">
      <c r="B16" s="59"/>
      <c r="C16" s="156" t="s">
        <v>9</v>
      </c>
      <c r="D16" s="157"/>
      <c r="E16" s="157"/>
      <c r="F16" s="161" t="s">
        <v>16</v>
      </c>
      <c r="G16" s="161"/>
      <c r="H16" s="161"/>
      <c r="I16" s="161"/>
      <c r="J16" s="161"/>
      <c r="K16" s="161"/>
      <c r="L16" s="161"/>
      <c r="M16" s="161"/>
      <c r="N16" s="161"/>
      <c r="O16" s="161"/>
      <c r="P16" s="161"/>
      <c r="Q16" s="161"/>
      <c r="R16" s="161"/>
      <c r="S16" s="161"/>
      <c r="T16" s="161"/>
      <c r="U16" s="161"/>
      <c r="V16" s="161"/>
      <c r="W16" s="161"/>
      <c r="X16" s="161"/>
      <c r="Y16" s="161"/>
      <c r="Z16" s="162"/>
      <c r="AA16" s="60"/>
    </row>
    <row r="17" spans="2:30" s="61" customFormat="1" ht="6" customHeight="1">
      <c r="B17" s="59"/>
      <c r="C17" s="158"/>
      <c r="D17" s="147"/>
      <c r="E17" s="147"/>
      <c r="F17" s="163"/>
      <c r="G17" s="163"/>
      <c r="H17" s="163"/>
      <c r="I17" s="163"/>
      <c r="J17" s="163"/>
      <c r="K17" s="163"/>
      <c r="L17" s="163"/>
      <c r="M17" s="163"/>
      <c r="N17" s="163"/>
      <c r="O17" s="163"/>
      <c r="P17" s="163"/>
      <c r="Q17" s="163"/>
      <c r="R17" s="163"/>
      <c r="S17" s="163"/>
      <c r="T17" s="163"/>
      <c r="U17" s="163"/>
      <c r="V17" s="163"/>
      <c r="W17" s="163"/>
      <c r="X17" s="163"/>
      <c r="Y17" s="163"/>
      <c r="Z17" s="164"/>
      <c r="AA17" s="60"/>
    </row>
    <row r="18" spans="2:30" s="61" customFormat="1" ht="26.25" customHeight="1" thickBot="1">
      <c r="B18" s="59"/>
      <c r="C18" s="159"/>
      <c r="D18" s="160"/>
      <c r="E18" s="160"/>
      <c r="F18" s="165" t="s">
        <v>10</v>
      </c>
      <c r="G18" s="165"/>
      <c r="H18" s="165"/>
      <c r="I18" s="165"/>
      <c r="J18" s="165"/>
      <c r="K18" s="165"/>
      <c r="L18" s="165"/>
      <c r="M18" s="165"/>
      <c r="N18" s="165"/>
      <c r="O18" s="165"/>
      <c r="P18" s="165"/>
      <c r="Q18" s="165"/>
      <c r="R18" s="165"/>
      <c r="S18" s="165"/>
      <c r="T18" s="165"/>
      <c r="U18" s="165"/>
      <c r="V18" s="165"/>
      <c r="W18" s="165"/>
      <c r="X18" s="165"/>
      <c r="Y18" s="165"/>
      <c r="Z18" s="166"/>
      <c r="AA18" s="60"/>
    </row>
    <row r="19" spans="2:30" s="49" customFormat="1" ht="9.75" customHeight="1" thickBot="1">
      <c r="B19" s="55"/>
      <c r="C19" s="56"/>
      <c r="D19" s="56"/>
      <c r="E19" s="56"/>
      <c r="F19" s="56"/>
      <c r="G19" s="56"/>
      <c r="H19" s="56"/>
      <c r="I19" s="56"/>
      <c r="J19" s="56"/>
      <c r="K19" s="56"/>
      <c r="L19" s="56"/>
      <c r="M19" s="56"/>
      <c r="N19" s="56"/>
      <c r="O19" s="56"/>
      <c r="P19" s="56"/>
      <c r="Q19" s="56"/>
      <c r="R19" s="56"/>
      <c r="S19" s="56"/>
      <c r="T19" s="56"/>
      <c r="U19" s="56"/>
      <c r="V19" s="56"/>
      <c r="W19" s="56"/>
      <c r="X19" s="56"/>
      <c r="Y19" s="56"/>
      <c r="Z19" s="56"/>
      <c r="AA19" s="57"/>
    </row>
    <row r="20" spans="2:30" s="49" customFormat="1" ht="7.5" customHeight="1" thickBot="1"/>
    <row r="21" spans="2:30" s="49" customFormat="1" ht="7.5" customHeight="1" thickBot="1">
      <c r="B21" s="50"/>
      <c r="C21" s="51"/>
      <c r="D21" s="51"/>
      <c r="E21" s="51"/>
      <c r="F21" s="51"/>
      <c r="G21" s="51"/>
      <c r="H21" s="51"/>
      <c r="I21" s="51"/>
      <c r="J21" s="51"/>
      <c r="K21" s="51"/>
      <c r="L21" s="51"/>
      <c r="M21" s="51"/>
      <c r="N21" s="51"/>
      <c r="O21" s="51"/>
      <c r="P21" s="51"/>
      <c r="Q21" s="51"/>
      <c r="R21" s="51"/>
      <c r="S21" s="51"/>
      <c r="T21" s="51"/>
      <c r="U21" s="51"/>
      <c r="V21" s="51"/>
      <c r="W21" s="51"/>
      <c r="X21" s="51"/>
      <c r="Y21" s="51"/>
      <c r="Z21" s="51"/>
      <c r="AA21" s="52"/>
    </row>
    <row r="22" spans="2:30" s="61" customFormat="1" ht="31.5" customHeight="1" thickBot="1">
      <c r="B22" s="59"/>
      <c r="C22" s="144" t="s">
        <v>20</v>
      </c>
      <c r="D22" s="145"/>
      <c r="E22" s="145"/>
      <c r="F22" s="79" t="s">
        <v>11</v>
      </c>
      <c r="G22" s="62"/>
      <c r="H22" s="120">
        <v>5</v>
      </c>
      <c r="I22" s="22"/>
      <c r="J22" s="121" t="s">
        <v>12</v>
      </c>
      <c r="K22" s="62"/>
      <c r="L22" s="150" t="s">
        <v>13</v>
      </c>
      <c r="M22" s="150"/>
      <c r="N22" s="150"/>
      <c r="O22" s="150"/>
      <c r="P22" s="150"/>
      <c r="Q22" s="150"/>
      <c r="R22" s="150"/>
      <c r="S22" s="150"/>
      <c r="T22" s="150"/>
      <c r="U22" s="150"/>
      <c r="V22" s="150"/>
      <c r="W22" s="150"/>
      <c r="X22" s="150"/>
      <c r="Y22" s="150"/>
      <c r="Z22" s="151"/>
      <c r="AA22" s="60"/>
      <c r="AB22" s="118">
        <v>0</v>
      </c>
      <c r="AC22" s="117">
        <v>0.39989999999999998</v>
      </c>
      <c r="AD22" s="61">
        <v>1</v>
      </c>
    </row>
    <row r="23" spans="2:30" s="61" customFormat="1" ht="6" customHeight="1" thickBot="1">
      <c r="B23" s="59"/>
      <c r="C23" s="146"/>
      <c r="D23" s="147"/>
      <c r="E23" s="147"/>
      <c r="F23" s="19"/>
      <c r="G23" s="63"/>
      <c r="H23" s="122"/>
      <c r="I23" s="20"/>
      <c r="J23" s="20"/>
      <c r="K23" s="63"/>
      <c r="L23" s="20"/>
      <c r="M23" s="20"/>
      <c r="N23" s="20"/>
      <c r="O23" s="20"/>
      <c r="P23" s="20"/>
      <c r="Q23" s="20"/>
      <c r="R23" s="20"/>
      <c r="S23" s="20"/>
      <c r="T23" s="20"/>
      <c r="U23" s="20"/>
      <c r="V23" s="20"/>
      <c r="W23" s="20"/>
      <c r="X23" s="20"/>
      <c r="Y23" s="20"/>
      <c r="Z23" s="21"/>
      <c r="AA23" s="60"/>
      <c r="AB23" s="118">
        <v>0.4</v>
      </c>
      <c r="AC23" s="117">
        <v>0.59989999999999999</v>
      </c>
      <c r="AD23" s="61">
        <v>2</v>
      </c>
    </row>
    <row r="24" spans="2:30" s="61" customFormat="1" ht="18" customHeight="1" thickBot="1">
      <c r="B24" s="59"/>
      <c r="C24" s="146"/>
      <c r="D24" s="147"/>
      <c r="E24" s="147"/>
      <c r="F24" s="79" t="s">
        <v>1</v>
      </c>
      <c r="G24" s="62"/>
      <c r="H24" s="120">
        <v>4</v>
      </c>
      <c r="I24" s="22"/>
      <c r="J24" s="121" t="s">
        <v>70</v>
      </c>
      <c r="K24" s="62"/>
      <c r="L24" s="150" t="s">
        <v>17</v>
      </c>
      <c r="M24" s="150"/>
      <c r="N24" s="150"/>
      <c r="O24" s="150"/>
      <c r="P24" s="150"/>
      <c r="Q24" s="150"/>
      <c r="R24" s="150"/>
      <c r="S24" s="150"/>
      <c r="T24" s="150"/>
      <c r="U24" s="150"/>
      <c r="V24" s="150"/>
      <c r="W24" s="150"/>
      <c r="X24" s="150"/>
      <c r="Y24" s="150"/>
      <c r="Z24" s="151"/>
      <c r="AA24" s="60"/>
      <c r="AB24" s="118">
        <v>0.6</v>
      </c>
      <c r="AC24" s="117">
        <v>0.79990000000000006</v>
      </c>
      <c r="AD24" s="61">
        <v>3</v>
      </c>
    </row>
    <row r="25" spans="2:30" s="61" customFormat="1" ht="6" customHeight="1" thickBot="1">
      <c r="B25" s="59"/>
      <c r="C25" s="146"/>
      <c r="D25" s="147"/>
      <c r="E25" s="147"/>
      <c r="F25" s="18"/>
      <c r="G25" s="62"/>
      <c r="H25" s="120"/>
      <c r="I25" s="22"/>
      <c r="J25" s="22"/>
      <c r="K25" s="62"/>
      <c r="L25" s="22"/>
      <c r="M25" s="22"/>
      <c r="N25" s="22"/>
      <c r="O25" s="22"/>
      <c r="P25" s="22"/>
      <c r="Q25" s="22"/>
      <c r="R25" s="22"/>
      <c r="S25" s="22"/>
      <c r="T25" s="22"/>
      <c r="U25" s="22"/>
      <c r="V25" s="22"/>
      <c r="W25" s="22"/>
      <c r="X25" s="22"/>
      <c r="Y25" s="22"/>
      <c r="Z25" s="23"/>
      <c r="AA25" s="60"/>
      <c r="AB25" s="118">
        <v>0.8</v>
      </c>
      <c r="AC25" s="117">
        <v>0.99990000000000001</v>
      </c>
      <c r="AD25" s="61">
        <v>4</v>
      </c>
    </row>
    <row r="26" spans="2:30" s="61" customFormat="1" ht="15.75" customHeight="1" thickBot="1">
      <c r="B26" s="59"/>
      <c r="C26" s="146"/>
      <c r="D26" s="147"/>
      <c r="E26" s="147"/>
      <c r="F26" s="79" t="s">
        <v>2</v>
      </c>
      <c r="G26" s="62"/>
      <c r="H26" s="120">
        <v>3</v>
      </c>
      <c r="I26" s="22"/>
      <c r="J26" s="121" t="s">
        <v>71</v>
      </c>
      <c r="K26" s="62"/>
      <c r="L26" s="150" t="s">
        <v>18</v>
      </c>
      <c r="M26" s="150"/>
      <c r="N26" s="150"/>
      <c r="O26" s="150"/>
      <c r="P26" s="150"/>
      <c r="Q26" s="150"/>
      <c r="R26" s="150"/>
      <c r="S26" s="150"/>
      <c r="T26" s="150"/>
      <c r="U26" s="150"/>
      <c r="V26" s="150"/>
      <c r="W26" s="150"/>
      <c r="X26" s="150"/>
      <c r="Y26" s="150"/>
      <c r="Z26" s="151"/>
      <c r="AA26" s="60"/>
      <c r="AB26" s="118">
        <v>1</v>
      </c>
      <c r="AD26" s="61">
        <v>5</v>
      </c>
    </row>
    <row r="27" spans="2:30" s="61" customFormat="1" ht="6" customHeight="1" thickBot="1">
      <c r="B27" s="59"/>
      <c r="C27" s="146"/>
      <c r="D27" s="147"/>
      <c r="E27" s="147"/>
      <c r="F27" s="18"/>
      <c r="G27" s="62"/>
      <c r="H27" s="120"/>
      <c r="I27" s="22"/>
      <c r="J27" s="22"/>
      <c r="K27" s="62"/>
      <c r="L27" s="22"/>
      <c r="M27" s="22"/>
      <c r="N27" s="22"/>
      <c r="O27" s="22"/>
      <c r="P27" s="22"/>
      <c r="Q27" s="22"/>
      <c r="R27" s="22"/>
      <c r="S27" s="22"/>
      <c r="T27" s="22"/>
      <c r="U27" s="22"/>
      <c r="V27" s="22"/>
      <c r="W27" s="22"/>
      <c r="X27" s="22"/>
      <c r="Y27" s="22"/>
      <c r="Z27" s="23"/>
      <c r="AA27" s="60"/>
    </row>
    <row r="28" spans="2:30" s="61" customFormat="1" ht="17.25" customHeight="1" thickBot="1">
      <c r="B28" s="59"/>
      <c r="C28" s="146"/>
      <c r="D28" s="147"/>
      <c r="E28" s="147"/>
      <c r="F28" s="79" t="s">
        <v>14</v>
      </c>
      <c r="G28" s="62"/>
      <c r="H28" s="120">
        <v>2</v>
      </c>
      <c r="I28" s="22"/>
      <c r="J28" s="121" t="s">
        <v>72</v>
      </c>
      <c r="K28" s="62"/>
      <c r="L28" s="150" t="s">
        <v>0</v>
      </c>
      <c r="M28" s="150"/>
      <c r="N28" s="150"/>
      <c r="O28" s="150"/>
      <c r="P28" s="150"/>
      <c r="Q28" s="150"/>
      <c r="R28" s="150"/>
      <c r="S28" s="150"/>
      <c r="T28" s="150"/>
      <c r="U28" s="150"/>
      <c r="V28" s="150"/>
      <c r="W28" s="150"/>
      <c r="X28" s="150"/>
      <c r="Y28" s="150"/>
      <c r="Z28" s="151"/>
      <c r="AA28" s="60"/>
    </row>
    <row r="29" spans="2:30" s="61" customFormat="1" ht="6" customHeight="1" thickBot="1">
      <c r="B29" s="59"/>
      <c r="C29" s="146"/>
      <c r="D29" s="147"/>
      <c r="E29" s="147"/>
      <c r="F29" s="18"/>
      <c r="G29" s="62"/>
      <c r="H29" s="120"/>
      <c r="I29" s="22"/>
      <c r="J29" s="22"/>
      <c r="K29" s="62"/>
      <c r="L29" s="22"/>
      <c r="M29" s="22"/>
      <c r="N29" s="22"/>
      <c r="O29" s="22"/>
      <c r="P29" s="22"/>
      <c r="Q29" s="22"/>
      <c r="R29" s="22"/>
      <c r="S29" s="22"/>
      <c r="T29" s="22"/>
      <c r="U29" s="22"/>
      <c r="V29" s="22"/>
      <c r="W29" s="22"/>
      <c r="X29" s="22"/>
      <c r="Y29" s="22"/>
      <c r="Z29" s="23"/>
      <c r="AA29" s="60"/>
    </row>
    <row r="30" spans="2:30" s="61" customFormat="1" ht="27" customHeight="1" thickBot="1">
      <c r="B30" s="59"/>
      <c r="C30" s="148"/>
      <c r="D30" s="149"/>
      <c r="E30" s="149"/>
      <c r="F30" s="79" t="s">
        <v>15</v>
      </c>
      <c r="G30" s="62"/>
      <c r="H30" s="120">
        <v>1</v>
      </c>
      <c r="I30" s="22"/>
      <c r="J30" s="121" t="s">
        <v>73</v>
      </c>
      <c r="K30" s="62"/>
      <c r="L30" s="150" t="s">
        <v>19</v>
      </c>
      <c r="M30" s="150"/>
      <c r="N30" s="150"/>
      <c r="O30" s="150"/>
      <c r="P30" s="150"/>
      <c r="Q30" s="150"/>
      <c r="R30" s="150"/>
      <c r="S30" s="150"/>
      <c r="T30" s="150"/>
      <c r="U30" s="150"/>
      <c r="V30" s="150"/>
      <c r="W30" s="150"/>
      <c r="X30" s="150"/>
      <c r="Y30" s="150"/>
      <c r="Z30" s="151"/>
      <c r="AA30" s="60"/>
    </row>
    <row r="31" spans="2:30" s="49" customFormat="1" ht="8.25" customHeight="1" thickBot="1">
      <c r="B31" s="55"/>
      <c r="C31" s="56"/>
      <c r="D31" s="56"/>
      <c r="E31" s="56"/>
      <c r="F31" s="56"/>
      <c r="G31" s="56"/>
      <c r="H31" s="56"/>
      <c r="I31" s="56"/>
      <c r="J31" s="56"/>
      <c r="K31" s="56"/>
      <c r="L31" s="56"/>
      <c r="M31" s="56"/>
      <c r="N31" s="56"/>
      <c r="O31" s="56"/>
      <c r="P31" s="56"/>
      <c r="Q31" s="56"/>
      <c r="R31" s="56"/>
      <c r="S31" s="56"/>
      <c r="T31" s="56"/>
      <c r="U31" s="56"/>
      <c r="V31" s="56"/>
      <c r="W31" s="56"/>
      <c r="X31" s="56"/>
      <c r="Y31" s="56"/>
      <c r="Z31" s="56"/>
      <c r="AA31" s="57"/>
    </row>
    <row r="32" spans="2:30" ht="8.25" customHeight="1" thickBot="1"/>
    <row r="33" spans="2:27" s="24" customFormat="1" ht="16.5" customHeight="1" thickBot="1">
      <c r="B33" s="25"/>
      <c r="C33" s="26" t="s">
        <v>50</v>
      </c>
      <c r="D33" s="27"/>
      <c r="E33" s="27"/>
      <c r="F33" s="27"/>
      <c r="G33" s="27"/>
      <c r="H33" s="27"/>
      <c r="I33" s="27"/>
      <c r="J33" s="27"/>
      <c r="K33" s="27"/>
      <c r="L33" s="27"/>
      <c r="M33" s="27"/>
      <c r="N33" s="27"/>
      <c r="O33" s="27"/>
      <c r="P33" s="27"/>
      <c r="Q33" s="27"/>
      <c r="R33" s="27"/>
      <c r="S33" s="27"/>
      <c r="T33" s="27"/>
      <c r="U33" s="27"/>
      <c r="V33" s="27"/>
      <c r="W33" s="27"/>
      <c r="X33" s="27"/>
      <c r="Y33" s="27"/>
      <c r="Z33" s="27"/>
      <c r="AA33" s="28"/>
    </row>
    <row r="34" spans="2:27" s="39" customFormat="1" ht="37.5" customHeight="1" thickBot="1">
      <c r="B34" s="40"/>
      <c r="C34" s="181" t="s">
        <v>51</v>
      </c>
      <c r="D34" s="182"/>
      <c r="E34" s="183"/>
      <c r="F34" s="108" t="s">
        <v>49</v>
      </c>
      <c r="G34" s="184"/>
      <c r="H34" s="108" t="s">
        <v>48</v>
      </c>
      <c r="I34" s="184"/>
      <c r="J34" s="108" t="s">
        <v>53</v>
      </c>
      <c r="K34" s="184"/>
      <c r="L34" s="187" t="s">
        <v>52</v>
      </c>
      <c r="M34" s="187"/>
      <c r="N34" s="187"/>
      <c r="O34" s="184"/>
      <c r="P34" s="108" t="s">
        <v>23</v>
      </c>
      <c r="Q34" s="184">
        <v>2</v>
      </c>
      <c r="R34" s="108" t="s">
        <v>24</v>
      </c>
      <c r="S34" s="184"/>
      <c r="T34" s="108" t="s">
        <v>22</v>
      </c>
      <c r="U34" s="184"/>
      <c r="V34" s="108" t="s">
        <v>21</v>
      </c>
      <c r="W34" s="184"/>
      <c r="X34" s="189" t="s">
        <v>25</v>
      </c>
      <c r="Y34" s="189"/>
      <c r="Z34" s="190"/>
      <c r="AA34" s="41"/>
    </row>
    <row r="35" spans="2:27" s="61" customFormat="1" ht="6" customHeight="1" thickBot="1">
      <c r="B35" s="59"/>
      <c r="C35" s="167"/>
      <c r="D35" s="168"/>
      <c r="E35" s="168"/>
      <c r="F35" s="66"/>
      <c r="G35" s="185"/>
      <c r="H35" s="67"/>
      <c r="I35" s="185"/>
      <c r="J35" s="66"/>
      <c r="K35" s="185"/>
      <c r="L35" s="66"/>
      <c r="M35" s="66"/>
      <c r="N35" s="66"/>
      <c r="O35" s="185"/>
      <c r="P35" s="68"/>
      <c r="Q35" s="185"/>
      <c r="R35" s="68"/>
      <c r="S35" s="185"/>
      <c r="T35" s="68"/>
      <c r="U35" s="185"/>
      <c r="V35" s="68"/>
      <c r="W35" s="185"/>
      <c r="X35" s="66"/>
      <c r="Y35" s="66"/>
      <c r="Z35" s="109"/>
      <c r="AA35" s="60"/>
    </row>
    <row r="36" spans="2:27" s="61" customFormat="1" ht="37.5" customHeight="1" thickBot="1">
      <c r="B36" s="59"/>
      <c r="C36" s="169"/>
      <c r="D36" s="170"/>
      <c r="E36" s="171"/>
      <c r="F36" s="70"/>
      <c r="G36" s="185"/>
      <c r="H36" s="81">
        <v>0.05</v>
      </c>
      <c r="I36" s="185"/>
      <c r="J36" s="71"/>
      <c r="K36" s="185"/>
      <c r="L36" s="178"/>
      <c r="M36" s="178"/>
      <c r="N36" s="178"/>
      <c r="O36" s="185"/>
      <c r="P36" s="72">
        <v>5</v>
      </c>
      <c r="Q36" s="185"/>
      <c r="R36" s="72">
        <v>2</v>
      </c>
      <c r="S36" s="185"/>
      <c r="T36" s="73">
        <f>ROUNDUP(((0*$P36)+(100%*$R36)),0)</f>
        <v>2</v>
      </c>
      <c r="U36" s="185"/>
      <c r="V36" s="74">
        <f>T36/5</f>
        <v>0.4</v>
      </c>
      <c r="W36" s="185"/>
      <c r="X36" s="179" t="str">
        <f>IF($T36&lt;1,"",(IF($T36=1,"Not Working Out",(IF($T36=2,"Needs Improvement",(IF($T36=3,"Fully Proficient",(IF($T36=4,"Excellent",(IF($T36=5,"Singularly Exceptional","")))))))))))</f>
        <v>Needs Improvement</v>
      </c>
      <c r="Y36" s="179"/>
      <c r="Z36" s="180"/>
      <c r="AA36" s="60"/>
    </row>
    <row r="37" spans="2:27" s="61" customFormat="1" ht="37.5" customHeight="1" thickBot="1">
      <c r="B37" s="59"/>
      <c r="C37" s="172"/>
      <c r="D37" s="173"/>
      <c r="E37" s="174"/>
      <c r="F37" s="70"/>
      <c r="G37" s="185"/>
      <c r="H37" s="81">
        <v>0.05</v>
      </c>
      <c r="I37" s="185"/>
      <c r="J37" s="71"/>
      <c r="K37" s="185"/>
      <c r="L37" s="178"/>
      <c r="M37" s="178"/>
      <c r="N37" s="178"/>
      <c r="O37" s="185"/>
      <c r="P37" s="72">
        <v>4</v>
      </c>
      <c r="Q37" s="185"/>
      <c r="R37" s="72">
        <v>3</v>
      </c>
      <c r="S37" s="185"/>
      <c r="T37" s="73">
        <f t="shared" ref="T37:T39" si="0">ROUNDUP(((0*$P37)+(100%*$R37)),0)</f>
        <v>3</v>
      </c>
      <c r="U37" s="185"/>
      <c r="V37" s="74">
        <f>T37/5</f>
        <v>0.6</v>
      </c>
      <c r="W37" s="185"/>
      <c r="X37" s="179" t="str">
        <f>IF($T37&lt;1,"",(IF($T37=1,"Not Working Out",(IF($T37=2,"Needs Improvement",(IF($T37=3,"Fully Proficient",(IF($T37=4,"Excellent",(IF($T37=5,"Singularly Exceptional","")))))))))))</f>
        <v>Fully Proficient</v>
      </c>
      <c r="Y37" s="179"/>
      <c r="Z37" s="180"/>
      <c r="AA37" s="60"/>
    </row>
    <row r="38" spans="2:27" s="61" customFormat="1" ht="37.5" customHeight="1" thickBot="1">
      <c r="B38" s="59"/>
      <c r="C38" s="172"/>
      <c r="D38" s="173"/>
      <c r="E38" s="174"/>
      <c r="F38" s="70"/>
      <c r="G38" s="185"/>
      <c r="H38" s="81">
        <v>0.05</v>
      </c>
      <c r="I38" s="185"/>
      <c r="J38" s="71"/>
      <c r="K38" s="185"/>
      <c r="L38" s="178"/>
      <c r="M38" s="178"/>
      <c r="N38" s="178"/>
      <c r="O38" s="185"/>
      <c r="P38" s="72">
        <v>3</v>
      </c>
      <c r="Q38" s="185"/>
      <c r="R38" s="72">
        <v>5</v>
      </c>
      <c r="S38" s="185"/>
      <c r="T38" s="73">
        <f t="shared" si="0"/>
        <v>5</v>
      </c>
      <c r="U38" s="185"/>
      <c r="V38" s="74">
        <f>IF($T38&lt;1,0,(IF($T38=1,49%,(IF($T38=2,50%,(IF($T38=3,70%,(IF($T38=4,90%,(IF($T38=5,100%,"")))))))))))</f>
        <v>1</v>
      </c>
      <c r="W38" s="185"/>
      <c r="X38" s="179" t="str">
        <f>IF($T38&lt;1,"",(IF($T38=1,"Not Working Out",(IF($T38=2,"Needs Improvement",(IF($T38=3,"Fully Proficient",(IF($T38=4,"Excellent",(IF($T38=5,"Singularly Exceptional","")))))))))))</f>
        <v>Singularly Exceptional</v>
      </c>
      <c r="Y38" s="179"/>
      <c r="Z38" s="180"/>
      <c r="AA38" s="60"/>
    </row>
    <row r="39" spans="2:27" s="61" customFormat="1" ht="37.5" customHeight="1">
      <c r="B39" s="59"/>
      <c r="C39" s="172"/>
      <c r="D39" s="173"/>
      <c r="E39" s="174"/>
      <c r="F39" s="70"/>
      <c r="G39" s="186"/>
      <c r="H39" s="81">
        <v>0.05</v>
      </c>
      <c r="I39" s="186"/>
      <c r="J39" s="71"/>
      <c r="K39" s="186"/>
      <c r="L39" s="178"/>
      <c r="M39" s="178"/>
      <c r="N39" s="178"/>
      <c r="O39" s="186"/>
      <c r="P39" s="72">
        <v>4</v>
      </c>
      <c r="Q39" s="186"/>
      <c r="R39" s="72">
        <v>2</v>
      </c>
      <c r="S39" s="186"/>
      <c r="T39" s="73">
        <f t="shared" si="0"/>
        <v>2</v>
      </c>
      <c r="U39" s="186"/>
      <c r="V39" s="74">
        <f>IF($T39&lt;1,0,(IF($T39=1,49%,(IF($T39=2,50%,(IF($T39=3,70%,(IF($T39=4,90%,(IF($T39=5,100%,"")))))))))))</f>
        <v>0.5</v>
      </c>
      <c r="W39" s="186"/>
      <c r="X39" s="179" t="str">
        <f>IF($T39&lt;1,"",(IF($T39=1,"Not Working Out",(IF($T39=2,"Needs Improvement",(IF($T39=3,"Fully Proficient",(IF($T39=4,"Excellent",(IF($T39=5,"Singularly Exceptional","")))))))))))</f>
        <v>Needs Improvement</v>
      </c>
      <c r="Y39" s="179"/>
      <c r="Z39" s="180"/>
      <c r="AA39" s="60"/>
    </row>
    <row r="40" spans="2:27" s="17" customFormat="1" ht="12.75" customHeight="1">
      <c r="B40" s="15"/>
      <c r="C40" s="172"/>
      <c r="D40" s="173"/>
      <c r="E40" s="174"/>
      <c r="F40" s="33"/>
      <c r="G40" s="33"/>
      <c r="H40" s="34">
        <f>SUM(H36:H39)</f>
        <v>0.2</v>
      </c>
      <c r="I40" s="35"/>
      <c r="J40" s="35"/>
      <c r="K40" s="35"/>
      <c r="L40" s="188"/>
      <c r="M40" s="188"/>
      <c r="N40" s="188"/>
      <c r="O40" s="35"/>
      <c r="P40" s="35">
        <f>SUM(P36:P39)</f>
        <v>16</v>
      </c>
      <c r="Q40" s="35">
        <v>3</v>
      </c>
      <c r="R40" s="35">
        <f>SUM(R36:R39)</f>
        <v>12</v>
      </c>
      <c r="S40" s="35"/>
      <c r="T40" s="36">
        <f>SUM(T36:T39)</f>
        <v>12</v>
      </c>
      <c r="U40" s="35"/>
      <c r="V40" s="80">
        <f>IFERROR(((T40/20)*$H40),0)</f>
        <v>0.12</v>
      </c>
      <c r="W40" s="35"/>
      <c r="X40" s="35"/>
      <c r="Y40" s="33"/>
      <c r="Z40" s="110"/>
      <c r="AA40" s="16"/>
    </row>
    <row r="41" spans="2:27" s="61" customFormat="1" ht="6" customHeight="1" thickBot="1">
      <c r="B41" s="59"/>
      <c r="C41" s="175"/>
      <c r="D41" s="176"/>
      <c r="E41" s="177"/>
      <c r="F41" s="111"/>
      <c r="G41" s="111"/>
      <c r="H41" s="112"/>
      <c r="I41" s="111"/>
      <c r="J41" s="111"/>
      <c r="K41" s="111"/>
      <c r="L41" s="111"/>
      <c r="M41" s="111"/>
      <c r="N41" s="111"/>
      <c r="O41" s="111"/>
      <c r="P41" s="111"/>
      <c r="Q41" s="111"/>
      <c r="R41" s="111"/>
      <c r="S41" s="111"/>
      <c r="T41" s="111"/>
      <c r="U41" s="111"/>
      <c r="V41" s="111"/>
      <c r="W41" s="111"/>
      <c r="X41" s="111"/>
      <c r="Y41" s="111"/>
      <c r="Z41" s="113"/>
      <c r="AA41" s="60"/>
    </row>
    <row r="42" spans="2:27" ht="8.25" customHeight="1" thickBot="1">
      <c r="B42" s="76"/>
      <c r="C42" s="77"/>
      <c r="D42" s="77"/>
      <c r="E42" s="77"/>
      <c r="F42" s="77"/>
      <c r="G42" s="77"/>
      <c r="H42" s="77"/>
      <c r="I42" s="77"/>
      <c r="J42" s="77"/>
      <c r="K42" s="77"/>
      <c r="L42" s="77"/>
      <c r="M42" s="77"/>
      <c r="N42" s="77"/>
      <c r="O42" s="77"/>
      <c r="P42" s="77"/>
      <c r="Q42" s="77"/>
      <c r="R42" s="77"/>
      <c r="S42" s="77"/>
      <c r="T42" s="77"/>
      <c r="U42" s="77"/>
      <c r="V42" s="77"/>
      <c r="W42" s="77"/>
      <c r="X42" s="77"/>
      <c r="Y42" s="77"/>
      <c r="Z42" s="77"/>
      <c r="AA42" s="78"/>
    </row>
    <row r="43" spans="2:27" s="49" customFormat="1" ht="4.5" customHeight="1" thickBot="1"/>
    <row r="44" spans="2:27" s="24" customFormat="1" ht="16.5" customHeight="1" thickBot="1">
      <c r="B44" s="25"/>
      <c r="C44" s="26" t="s">
        <v>54</v>
      </c>
      <c r="D44" s="27"/>
      <c r="E44" s="27"/>
      <c r="F44" s="27"/>
      <c r="G44" s="27"/>
      <c r="H44" s="27"/>
      <c r="I44" s="27"/>
      <c r="J44" s="27"/>
      <c r="K44" s="27"/>
      <c r="L44" s="27"/>
      <c r="M44" s="27"/>
      <c r="N44" s="27"/>
      <c r="O44" s="27"/>
      <c r="P44" s="27"/>
      <c r="Q44" s="27"/>
      <c r="R44" s="27"/>
      <c r="S44" s="27"/>
      <c r="T44" s="27"/>
      <c r="U44" s="27"/>
      <c r="V44" s="27"/>
      <c r="W44" s="27"/>
      <c r="X44" s="27"/>
      <c r="Y44" s="27"/>
      <c r="Z44" s="27"/>
      <c r="AA44" s="28"/>
    </row>
    <row r="45" spans="2:27" s="29" customFormat="1" ht="37.5" customHeight="1" thickBot="1">
      <c r="B45" s="30"/>
      <c r="C45" s="181" t="s">
        <v>51</v>
      </c>
      <c r="D45" s="182"/>
      <c r="E45" s="183"/>
      <c r="F45" s="108" t="s">
        <v>49</v>
      </c>
      <c r="G45" s="184"/>
      <c r="H45" s="108" t="s">
        <v>48</v>
      </c>
      <c r="I45" s="184"/>
      <c r="J45" s="108" t="s">
        <v>53</v>
      </c>
      <c r="K45" s="184"/>
      <c r="L45" s="187" t="s">
        <v>52</v>
      </c>
      <c r="M45" s="187"/>
      <c r="N45" s="187"/>
      <c r="O45" s="184"/>
      <c r="P45" s="108" t="s">
        <v>23</v>
      </c>
      <c r="Q45" s="184"/>
      <c r="R45" s="108" t="s">
        <v>24</v>
      </c>
      <c r="S45" s="184"/>
      <c r="T45" s="108" t="s">
        <v>22</v>
      </c>
      <c r="U45" s="184"/>
      <c r="V45" s="108" t="s">
        <v>21</v>
      </c>
      <c r="W45" s="184"/>
      <c r="X45" s="189" t="s">
        <v>25</v>
      </c>
      <c r="Y45" s="189"/>
      <c r="Z45" s="190"/>
      <c r="AA45" s="32"/>
    </row>
    <row r="46" spans="2:27" s="61" customFormat="1" ht="6" customHeight="1" thickBot="1">
      <c r="B46" s="59"/>
      <c r="C46" s="167"/>
      <c r="D46" s="168"/>
      <c r="E46" s="168"/>
      <c r="F46" s="66"/>
      <c r="G46" s="185"/>
      <c r="H46" s="67"/>
      <c r="I46" s="185"/>
      <c r="J46" s="66"/>
      <c r="K46" s="185"/>
      <c r="L46" s="66"/>
      <c r="M46" s="66"/>
      <c r="N46" s="66"/>
      <c r="O46" s="185"/>
      <c r="P46" s="68"/>
      <c r="Q46" s="185"/>
      <c r="R46" s="68"/>
      <c r="S46" s="185"/>
      <c r="T46" s="68"/>
      <c r="U46" s="185"/>
      <c r="V46" s="68"/>
      <c r="W46" s="185"/>
      <c r="X46" s="66"/>
      <c r="Y46" s="66"/>
      <c r="Z46" s="109"/>
      <c r="AA46" s="60"/>
    </row>
    <row r="47" spans="2:27" s="61" customFormat="1" ht="37.5" customHeight="1" thickBot="1">
      <c r="B47" s="59"/>
      <c r="C47" s="191"/>
      <c r="D47" s="192"/>
      <c r="E47" s="193"/>
      <c r="F47" s="70"/>
      <c r="G47" s="185"/>
      <c r="H47" s="81">
        <v>0.05</v>
      </c>
      <c r="I47" s="185"/>
      <c r="J47" s="71"/>
      <c r="K47" s="185"/>
      <c r="L47" s="178"/>
      <c r="M47" s="178"/>
      <c r="N47" s="178"/>
      <c r="O47" s="185"/>
      <c r="P47" s="72">
        <v>4</v>
      </c>
      <c r="Q47" s="185"/>
      <c r="R47" s="72">
        <v>2</v>
      </c>
      <c r="S47" s="185"/>
      <c r="T47" s="73">
        <f t="shared" ref="T47:T50" si="1">ROUNDUP(((0*$P47)+(100%*$R47)),0)</f>
        <v>2</v>
      </c>
      <c r="U47" s="185"/>
      <c r="V47" s="74">
        <f>T47/5</f>
        <v>0.4</v>
      </c>
      <c r="W47" s="185"/>
      <c r="X47" s="179" t="str">
        <f>IF($T47&lt;1,"",(IF($T47=1,"Not Working Out",(IF($T47=2,"Needs Improvement",(IF($T47=3,"Fully Proficient",(IF($T47=4,"Excellent",(IF($T47=5,"Singularly Exceptional","")))))))))))</f>
        <v>Needs Improvement</v>
      </c>
      <c r="Y47" s="179"/>
      <c r="Z47" s="180"/>
      <c r="AA47" s="60"/>
    </row>
    <row r="48" spans="2:27" s="61" customFormat="1" ht="37.5" customHeight="1" thickBot="1">
      <c r="B48" s="59"/>
      <c r="C48" s="194"/>
      <c r="D48" s="195"/>
      <c r="E48" s="196"/>
      <c r="F48" s="70"/>
      <c r="G48" s="185"/>
      <c r="H48" s="81">
        <v>0.05</v>
      </c>
      <c r="I48" s="185"/>
      <c r="J48" s="71"/>
      <c r="K48" s="185"/>
      <c r="L48" s="178"/>
      <c r="M48" s="178"/>
      <c r="N48" s="178"/>
      <c r="O48" s="185"/>
      <c r="P48" s="72">
        <v>5</v>
      </c>
      <c r="Q48" s="185"/>
      <c r="R48" s="72">
        <v>2</v>
      </c>
      <c r="S48" s="185"/>
      <c r="T48" s="73">
        <f t="shared" si="1"/>
        <v>2</v>
      </c>
      <c r="U48" s="185"/>
      <c r="V48" s="74">
        <f>T48/5</f>
        <v>0.4</v>
      </c>
      <c r="W48" s="185"/>
      <c r="X48" s="179" t="str">
        <f>IF($T48&lt;1,"",(IF($T48=1,"Not Working Out",(IF($T48=2,"Needs Improvement",(IF($T48=3,"Fully Proficient",(IF($T48=4,"Excellent",(IF($T48=5,"Singularly Exceptional","")))))))))))</f>
        <v>Needs Improvement</v>
      </c>
      <c r="Y48" s="179"/>
      <c r="Z48" s="180"/>
      <c r="AA48" s="60"/>
    </row>
    <row r="49" spans="2:27" s="61" customFormat="1" ht="37.5" customHeight="1" thickBot="1">
      <c r="B49" s="59"/>
      <c r="C49" s="194"/>
      <c r="D49" s="195"/>
      <c r="E49" s="196"/>
      <c r="F49" s="70"/>
      <c r="G49" s="185"/>
      <c r="H49" s="81">
        <v>0.05</v>
      </c>
      <c r="I49" s="185"/>
      <c r="J49" s="71"/>
      <c r="K49" s="185"/>
      <c r="L49" s="178"/>
      <c r="M49" s="178"/>
      <c r="N49" s="178"/>
      <c r="O49" s="185"/>
      <c r="P49" s="72"/>
      <c r="Q49" s="185"/>
      <c r="R49" s="72"/>
      <c r="S49" s="185"/>
      <c r="T49" s="73">
        <f t="shared" si="1"/>
        <v>0</v>
      </c>
      <c r="U49" s="185"/>
      <c r="V49" s="74">
        <f>T49/5</f>
        <v>0</v>
      </c>
      <c r="W49" s="185"/>
      <c r="X49" s="179" t="str">
        <f>IF($T49&lt;1,"",(IF($T49=1,"Not Working Out",(IF($T49=2,"Needs Improvement",(IF($T49=3,"Fully Proficient",(IF($T49=4,"Excellent",(IF($T49=5,"Singularly Exceptional","")))))))))))</f>
        <v/>
      </c>
      <c r="Y49" s="179"/>
      <c r="Z49" s="180"/>
      <c r="AA49" s="60"/>
    </row>
    <row r="50" spans="2:27" s="61" customFormat="1" ht="37.5" customHeight="1">
      <c r="B50" s="59"/>
      <c r="C50" s="194"/>
      <c r="D50" s="195"/>
      <c r="E50" s="196"/>
      <c r="F50" s="70"/>
      <c r="G50" s="186"/>
      <c r="H50" s="81">
        <v>0.05</v>
      </c>
      <c r="I50" s="186"/>
      <c r="J50" s="71"/>
      <c r="K50" s="186"/>
      <c r="L50" s="178"/>
      <c r="M50" s="178"/>
      <c r="N50" s="178"/>
      <c r="O50" s="186"/>
      <c r="P50" s="72"/>
      <c r="Q50" s="186"/>
      <c r="R50" s="72"/>
      <c r="S50" s="186"/>
      <c r="T50" s="73">
        <f t="shared" si="1"/>
        <v>0</v>
      </c>
      <c r="U50" s="186"/>
      <c r="V50" s="74">
        <f>T50/5</f>
        <v>0</v>
      </c>
      <c r="W50" s="186"/>
      <c r="X50" s="179" t="str">
        <f>IF($T50&lt;1,"",(IF($T50=1,"Not Working Out",(IF($T50=2,"Needs Improvement",(IF($T50=3,"Fully Proficient",(IF($T50=4,"Excellent",(IF($T50=5,"Singularly Exceptional","")))))))))))</f>
        <v/>
      </c>
      <c r="Y50" s="179"/>
      <c r="Z50" s="180"/>
      <c r="AA50" s="60"/>
    </row>
    <row r="51" spans="2:27" s="17" customFormat="1" ht="12.75" customHeight="1">
      <c r="B51" s="15"/>
      <c r="C51" s="194"/>
      <c r="D51" s="195"/>
      <c r="E51" s="196"/>
      <c r="F51" s="33"/>
      <c r="G51" s="33"/>
      <c r="H51" s="34">
        <f>SUM(H47:H50)</f>
        <v>0.2</v>
      </c>
      <c r="I51" s="35"/>
      <c r="J51" s="35"/>
      <c r="K51" s="35"/>
      <c r="L51" s="188"/>
      <c r="M51" s="188"/>
      <c r="N51" s="188"/>
      <c r="O51" s="35"/>
      <c r="P51" s="35">
        <f>SUM(P47:P50)</f>
        <v>9</v>
      </c>
      <c r="Q51" s="35">
        <v>3</v>
      </c>
      <c r="R51" s="35">
        <f>SUM(R47:R50)</f>
        <v>4</v>
      </c>
      <c r="S51" s="35"/>
      <c r="T51" s="36">
        <f>SUM(T47:T50)</f>
        <v>4</v>
      </c>
      <c r="U51" s="35"/>
      <c r="V51" s="80">
        <f>IFERROR(((T51/20)*$H51),0)</f>
        <v>4.0000000000000008E-2</v>
      </c>
      <c r="W51" s="35"/>
      <c r="X51" s="35"/>
      <c r="Y51" s="33"/>
      <c r="Z51" s="110"/>
      <c r="AA51" s="16"/>
    </row>
    <row r="52" spans="2:27" s="61" customFormat="1" ht="6" customHeight="1" thickBot="1">
      <c r="B52" s="59"/>
      <c r="C52" s="197"/>
      <c r="D52" s="198"/>
      <c r="E52" s="199"/>
      <c r="F52" s="111"/>
      <c r="G52" s="111"/>
      <c r="H52" s="112"/>
      <c r="I52" s="111"/>
      <c r="J52" s="111"/>
      <c r="K52" s="111"/>
      <c r="L52" s="111"/>
      <c r="M52" s="111"/>
      <c r="N52" s="111"/>
      <c r="O52" s="111"/>
      <c r="P52" s="111"/>
      <c r="Q52" s="111"/>
      <c r="R52" s="111"/>
      <c r="S52" s="111"/>
      <c r="T52" s="111"/>
      <c r="U52" s="111"/>
      <c r="V52" s="111"/>
      <c r="W52" s="111"/>
      <c r="X52" s="111"/>
      <c r="Y52" s="111"/>
      <c r="Z52" s="113"/>
      <c r="AA52" s="60"/>
    </row>
    <row r="53" spans="2:27" ht="8.25" customHeight="1" thickBot="1">
      <c r="B53" s="76"/>
      <c r="C53" s="77"/>
      <c r="D53" s="77"/>
      <c r="E53" s="77"/>
      <c r="F53" s="77"/>
      <c r="G53" s="77"/>
      <c r="H53" s="77"/>
      <c r="I53" s="77"/>
      <c r="J53" s="77"/>
      <c r="K53" s="77"/>
      <c r="L53" s="77"/>
      <c r="M53" s="77"/>
      <c r="N53" s="77"/>
      <c r="O53" s="77"/>
      <c r="P53" s="77"/>
      <c r="Q53" s="77"/>
      <c r="R53" s="77"/>
      <c r="S53" s="77"/>
      <c r="T53" s="77"/>
      <c r="U53" s="77"/>
      <c r="V53" s="77"/>
      <c r="W53" s="77"/>
      <c r="X53" s="77"/>
      <c r="Y53" s="77"/>
      <c r="Z53" s="77"/>
      <c r="AA53" s="78"/>
    </row>
    <row r="54" spans="2:27" ht="7.5" customHeight="1" thickBot="1"/>
    <row r="55" spans="2:27" s="24" customFormat="1" ht="16.5" customHeight="1" thickBot="1">
      <c r="B55" s="25"/>
      <c r="C55" s="26" t="s">
        <v>55</v>
      </c>
      <c r="D55" s="27"/>
      <c r="E55" s="27"/>
      <c r="F55" s="27"/>
      <c r="G55" s="27"/>
      <c r="H55" s="27"/>
      <c r="I55" s="27"/>
      <c r="J55" s="27"/>
      <c r="K55" s="27"/>
      <c r="L55" s="27"/>
      <c r="M55" s="27"/>
      <c r="N55" s="27"/>
      <c r="O55" s="27"/>
      <c r="P55" s="27"/>
      <c r="Q55" s="27"/>
      <c r="R55" s="27"/>
      <c r="S55" s="27"/>
      <c r="T55" s="27"/>
      <c r="U55" s="27"/>
      <c r="V55" s="27"/>
      <c r="W55" s="27"/>
      <c r="X55" s="27"/>
      <c r="Y55" s="27"/>
      <c r="Z55" s="27"/>
      <c r="AA55" s="28"/>
    </row>
    <row r="56" spans="2:27" s="29" customFormat="1" ht="37.5" customHeight="1" thickBot="1">
      <c r="B56" s="30"/>
      <c r="C56" s="181" t="s">
        <v>51</v>
      </c>
      <c r="D56" s="182"/>
      <c r="E56" s="183"/>
      <c r="F56" s="108" t="s">
        <v>49</v>
      </c>
      <c r="G56" s="184"/>
      <c r="H56" s="108" t="s">
        <v>48</v>
      </c>
      <c r="I56" s="184"/>
      <c r="J56" s="108" t="s">
        <v>53</v>
      </c>
      <c r="K56" s="184"/>
      <c r="L56" s="187" t="s">
        <v>52</v>
      </c>
      <c r="M56" s="187"/>
      <c r="N56" s="187"/>
      <c r="O56" s="184"/>
      <c r="P56" s="108" t="s">
        <v>23</v>
      </c>
      <c r="Q56" s="184"/>
      <c r="R56" s="108" t="s">
        <v>24</v>
      </c>
      <c r="S56" s="184"/>
      <c r="T56" s="108" t="s">
        <v>22</v>
      </c>
      <c r="U56" s="184"/>
      <c r="V56" s="108" t="s">
        <v>21</v>
      </c>
      <c r="W56" s="184"/>
      <c r="X56" s="189" t="s">
        <v>25</v>
      </c>
      <c r="Y56" s="189"/>
      <c r="Z56" s="190"/>
      <c r="AA56" s="32"/>
    </row>
    <row r="57" spans="2:27" s="61" customFormat="1" ht="6" customHeight="1" thickBot="1">
      <c r="B57" s="59"/>
      <c r="C57" s="167"/>
      <c r="D57" s="168"/>
      <c r="E57" s="168"/>
      <c r="F57" s="66"/>
      <c r="G57" s="185"/>
      <c r="H57" s="67"/>
      <c r="I57" s="185"/>
      <c r="J57" s="66"/>
      <c r="K57" s="185"/>
      <c r="L57" s="66"/>
      <c r="M57" s="66"/>
      <c r="N57" s="66"/>
      <c r="O57" s="185"/>
      <c r="P57" s="68"/>
      <c r="Q57" s="185"/>
      <c r="R57" s="68"/>
      <c r="S57" s="185"/>
      <c r="T57" s="68"/>
      <c r="U57" s="185"/>
      <c r="V57" s="68"/>
      <c r="W57" s="185"/>
      <c r="X57" s="66"/>
      <c r="Y57" s="66"/>
      <c r="Z57" s="109"/>
      <c r="AA57" s="60"/>
    </row>
    <row r="58" spans="2:27" s="61" customFormat="1" ht="37.5" customHeight="1" thickBot="1">
      <c r="B58" s="59"/>
      <c r="C58" s="191"/>
      <c r="D58" s="192"/>
      <c r="E58" s="193"/>
      <c r="F58" s="70"/>
      <c r="G58" s="185"/>
      <c r="H58" s="81">
        <v>0.05</v>
      </c>
      <c r="I58" s="185"/>
      <c r="J58" s="71"/>
      <c r="K58" s="185"/>
      <c r="L58" s="178"/>
      <c r="M58" s="178"/>
      <c r="N58" s="178"/>
      <c r="O58" s="185"/>
      <c r="P58" s="72">
        <v>5</v>
      </c>
      <c r="Q58" s="185"/>
      <c r="R58" s="72">
        <v>2</v>
      </c>
      <c r="S58" s="185"/>
      <c r="T58" s="73">
        <f t="shared" ref="T58:T61" si="2">ROUNDUP(((0*$P58)+(100%*$R58)),0)</f>
        <v>2</v>
      </c>
      <c r="U58" s="185"/>
      <c r="V58" s="74">
        <f>T58/5</f>
        <v>0.4</v>
      </c>
      <c r="W58" s="185"/>
      <c r="X58" s="179" t="str">
        <f>IF($T58&lt;1,"",(IF($T58=1,"Not Working Out",(IF($T58=2,"Needs Improvement",(IF($T58=3,"Fully Proficient",(IF($T58=4,"Excellent",(IF($T58=5,"Singularly Exceptional","")))))))))))</f>
        <v>Needs Improvement</v>
      </c>
      <c r="Y58" s="179"/>
      <c r="Z58" s="180"/>
      <c r="AA58" s="60"/>
    </row>
    <row r="59" spans="2:27" s="61" customFormat="1" ht="37.5" customHeight="1" thickBot="1">
      <c r="B59" s="59"/>
      <c r="C59" s="194"/>
      <c r="D59" s="195"/>
      <c r="E59" s="196"/>
      <c r="F59" s="70"/>
      <c r="G59" s="185"/>
      <c r="H59" s="81">
        <v>0.05</v>
      </c>
      <c r="I59" s="185"/>
      <c r="J59" s="71"/>
      <c r="K59" s="185"/>
      <c r="L59" s="178"/>
      <c r="M59" s="178"/>
      <c r="N59" s="178"/>
      <c r="O59" s="185"/>
      <c r="P59" s="72"/>
      <c r="Q59" s="185"/>
      <c r="R59" s="72"/>
      <c r="S59" s="185"/>
      <c r="T59" s="73">
        <f t="shared" si="2"/>
        <v>0</v>
      </c>
      <c r="U59" s="185"/>
      <c r="V59" s="74">
        <f>T59/5</f>
        <v>0</v>
      </c>
      <c r="W59" s="185"/>
      <c r="X59" s="179" t="str">
        <f>IF($T59&lt;1,"",(IF($T59=1,"Not Working Out",(IF($T59=2,"Needs Improvement",(IF($T59=3,"Fully Proficient",(IF($T59=4,"Excellent",(IF($T59=5,"Singularly Exceptional","")))))))))))</f>
        <v/>
      </c>
      <c r="Y59" s="179"/>
      <c r="Z59" s="180"/>
      <c r="AA59" s="60"/>
    </row>
    <row r="60" spans="2:27" s="61" customFormat="1" ht="37.5" customHeight="1" thickBot="1">
      <c r="B60" s="59"/>
      <c r="C60" s="194"/>
      <c r="D60" s="195"/>
      <c r="E60" s="196"/>
      <c r="F60" s="70"/>
      <c r="G60" s="185"/>
      <c r="H60" s="81">
        <v>0.05</v>
      </c>
      <c r="I60" s="185"/>
      <c r="J60" s="71"/>
      <c r="K60" s="185"/>
      <c r="L60" s="178"/>
      <c r="M60" s="178"/>
      <c r="N60" s="178"/>
      <c r="O60" s="185"/>
      <c r="P60" s="72"/>
      <c r="Q60" s="185"/>
      <c r="R60" s="72"/>
      <c r="S60" s="185"/>
      <c r="T60" s="73">
        <f t="shared" si="2"/>
        <v>0</v>
      </c>
      <c r="U60" s="185"/>
      <c r="V60" s="74">
        <f>T60/5</f>
        <v>0</v>
      </c>
      <c r="W60" s="185"/>
      <c r="X60" s="179" t="str">
        <f>IF($T60&lt;1,"",(IF($T60=1,"Not Working Out",(IF($T60=2,"Needs Improvement",(IF($T60=3,"Fully Proficient",(IF($T60=4,"Excellent",(IF($T60=5,"Singularly Exceptional","")))))))))))</f>
        <v/>
      </c>
      <c r="Y60" s="179"/>
      <c r="Z60" s="180"/>
      <c r="AA60" s="60"/>
    </row>
    <row r="61" spans="2:27" s="61" customFormat="1" ht="37.5" customHeight="1">
      <c r="B61" s="59"/>
      <c r="C61" s="194"/>
      <c r="D61" s="195"/>
      <c r="E61" s="196"/>
      <c r="F61" s="70"/>
      <c r="G61" s="186"/>
      <c r="H61" s="81">
        <v>0.05</v>
      </c>
      <c r="I61" s="186"/>
      <c r="J61" s="71"/>
      <c r="K61" s="186"/>
      <c r="L61" s="178"/>
      <c r="M61" s="178"/>
      <c r="N61" s="178"/>
      <c r="O61" s="186"/>
      <c r="P61" s="72"/>
      <c r="Q61" s="186"/>
      <c r="R61" s="72"/>
      <c r="S61" s="186"/>
      <c r="T61" s="73">
        <f t="shared" si="2"/>
        <v>0</v>
      </c>
      <c r="U61" s="186"/>
      <c r="V61" s="74">
        <f>T61/5</f>
        <v>0</v>
      </c>
      <c r="W61" s="186"/>
      <c r="X61" s="179" t="str">
        <f>IF($T61&lt;1,"",(IF($T61=1,"Not Working Out",(IF($T61=2,"Needs Improvement",(IF($T61=3,"Fully Proficient",(IF($T61=4,"Excellent",(IF($T61=5,"Singularly Exceptional","")))))))))))</f>
        <v/>
      </c>
      <c r="Y61" s="179"/>
      <c r="Z61" s="180"/>
      <c r="AA61" s="60"/>
    </row>
    <row r="62" spans="2:27" s="17" customFormat="1" ht="12.75" customHeight="1">
      <c r="B62" s="15"/>
      <c r="C62" s="194"/>
      <c r="D62" s="195"/>
      <c r="E62" s="196"/>
      <c r="F62" s="33"/>
      <c r="G62" s="33"/>
      <c r="H62" s="34">
        <f>SUM(H58:H61)</f>
        <v>0.2</v>
      </c>
      <c r="I62" s="35"/>
      <c r="J62" s="35"/>
      <c r="K62" s="35"/>
      <c r="L62" s="188"/>
      <c r="M62" s="188"/>
      <c r="N62" s="188"/>
      <c r="O62" s="35"/>
      <c r="P62" s="35">
        <f>SUM(P58:P61)</f>
        <v>5</v>
      </c>
      <c r="Q62" s="35">
        <v>3</v>
      </c>
      <c r="R62" s="35">
        <f>SUM(R58:R61)</f>
        <v>2</v>
      </c>
      <c r="S62" s="35"/>
      <c r="T62" s="36">
        <f>SUM(T58:T61)</f>
        <v>2</v>
      </c>
      <c r="U62" s="35"/>
      <c r="V62" s="80">
        <f>IFERROR(((T62/20)*$H62),0)</f>
        <v>2.0000000000000004E-2</v>
      </c>
      <c r="W62" s="35"/>
      <c r="X62" s="35"/>
      <c r="Y62" s="33"/>
      <c r="Z62" s="110"/>
      <c r="AA62" s="16"/>
    </row>
    <row r="63" spans="2:27" s="61" customFormat="1" ht="6" customHeight="1" thickBot="1">
      <c r="B63" s="59"/>
      <c r="C63" s="197"/>
      <c r="D63" s="198"/>
      <c r="E63" s="199"/>
      <c r="F63" s="111"/>
      <c r="G63" s="111"/>
      <c r="H63" s="112"/>
      <c r="I63" s="111"/>
      <c r="J63" s="111"/>
      <c r="K63" s="111"/>
      <c r="L63" s="111"/>
      <c r="M63" s="111"/>
      <c r="N63" s="111"/>
      <c r="O63" s="111"/>
      <c r="P63" s="111"/>
      <c r="Q63" s="111"/>
      <c r="R63" s="111"/>
      <c r="S63" s="111"/>
      <c r="T63" s="111"/>
      <c r="U63" s="111"/>
      <c r="V63" s="111"/>
      <c r="W63" s="111"/>
      <c r="X63" s="111"/>
      <c r="Y63" s="111"/>
      <c r="Z63" s="113"/>
      <c r="AA63" s="60"/>
    </row>
    <row r="64" spans="2:27" ht="8.25" customHeight="1" thickBot="1">
      <c r="B64" s="76"/>
      <c r="C64" s="77"/>
      <c r="D64" s="77"/>
      <c r="E64" s="77"/>
      <c r="F64" s="77"/>
      <c r="G64" s="77"/>
      <c r="H64" s="77"/>
      <c r="I64" s="77"/>
      <c r="J64" s="77"/>
      <c r="K64" s="77"/>
      <c r="L64" s="77"/>
      <c r="M64" s="77"/>
      <c r="N64" s="77"/>
      <c r="O64" s="77"/>
      <c r="P64" s="77"/>
      <c r="Q64" s="77"/>
      <c r="R64" s="77"/>
      <c r="S64" s="77"/>
      <c r="T64" s="77"/>
      <c r="U64" s="77"/>
      <c r="V64" s="77"/>
      <c r="W64" s="77"/>
      <c r="X64" s="77"/>
      <c r="Y64" s="77"/>
      <c r="Z64" s="77"/>
      <c r="AA64" s="78"/>
    </row>
    <row r="65" spans="2:27" s="49" customFormat="1" ht="4.5" customHeight="1" thickBot="1"/>
    <row r="66" spans="2:27" s="24" customFormat="1" ht="16.5" customHeight="1" thickBot="1">
      <c r="B66" s="25"/>
      <c r="C66" s="26" t="s">
        <v>56</v>
      </c>
      <c r="D66" s="27"/>
      <c r="E66" s="27"/>
      <c r="F66" s="27"/>
      <c r="G66" s="27"/>
      <c r="H66" s="27"/>
      <c r="I66" s="27"/>
      <c r="J66" s="27"/>
      <c r="K66" s="27"/>
      <c r="L66" s="27"/>
      <c r="M66" s="27"/>
      <c r="N66" s="27"/>
      <c r="O66" s="27"/>
      <c r="P66" s="27"/>
      <c r="Q66" s="27"/>
      <c r="R66" s="27"/>
      <c r="S66" s="27"/>
      <c r="T66" s="27"/>
      <c r="U66" s="27"/>
      <c r="V66" s="27"/>
      <c r="W66" s="27"/>
      <c r="X66" s="27"/>
      <c r="Y66" s="27"/>
      <c r="Z66" s="27"/>
      <c r="AA66" s="28"/>
    </row>
    <row r="67" spans="2:27" s="29" customFormat="1" ht="37.5" customHeight="1" thickBot="1">
      <c r="B67" s="30"/>
      <c r="C67" s="181" t="s">
        <v>51</v>
      </c>
      <c r="D67" s="182"/>
      <c r="E67" s="183"/>
      <c r="F67" s="108" t="s">
        <v>49</v>
      </c>
      <c r="G67" s="184"/>
      <c r="H67" s="108" t="s">
        <v>48</v>
      </c>
      <c r="I67" s="184"/>
      <c r="J67" s="108" t="s">
        <v>53</v>
      </c>
      <c r="K67" s="184"/>
      <c r="L67" s="187" t="s">
        <v>52</v>
      </c>
      <c r="M67" s="187"/>
      <c r="N67" s="187"/>
      <c r="O67" s="184"/>
      <c r="P67" s="108" t="s">
        <v>23</v>
      </c>
      <c r="Q67" s="184"/>
      <c r="R67" s="108" t="s">
        <v>24</v>
      </c>
      <c r="S67" s="184"/>
      <c r="T67" s="108" t="s">
        <v>22</v>
      </c>
      <c r="U67" s="184"/>
      <c r="V67" s="108" t="s">
        <v>21</v>
      </c>
      <c r="W67" s="184"/>
      <c r="X67" s="189" t="s">
        <v>25</v>
      </c>
      <c r="Y67" s="189"/>
      <c r="Z67" s="190"/>
      <c r="AA67" s="32"/>
    </row>
    <row r="68" spans="2:27" s="61" customFormat="1" ht="6" customHeight="1" thickBot="1">
      <c r="B68" s="59"/>
      <c r="C68" s="167"/>
      <c r="D68" s="168"/>
      <c r="E68" s="168"/>
      <c r="F68" s="66"/>
      <c r="G68" s="185"/>
      <c r="H68" s="67"/>
      <c r="I68" s="185"/>
      <c r="J68" s="66"/>
      <c r="K68" s="185"/>
      <c r="L68" s="66"/>
      <c r="M68" s="66"/>
      <c r="N68" s="66"/>
      <c r="O68" s="185"/>
      <c r="P68" s="68"/>
      <c r="Q68" s="185"/>
      <c r="R68" s="68"/>
      <c r="S68" s="185"/>
      <c r="T68" s="68"/>
      <c r="U68" s="185"/>
      <c r="V68" s="68"/>
      <c r="W68" s="185"/>
      <c r="X68" s="66"/>
      <c r="Y68" s="66"/>
      <c r="Z68" s="109"/>
      <c r="AA68" s="60"/>
    </row>
    <row r="69" spans="2:27" s="61" customFormat="1" ht="37.5" customHeight="1" thickBot="1">
      <c r="B69" s="59"/>
      <c r="C69" s="200"/>
      <c r="D69" s="201"/>
      <c r="E69" s="202"/>
      <c r="F69" s="70"/>
      <c r="G69" s="185"/>
      <c r="H69" s="81">
        <v>0.05</v>
      </c>
      <c r="I69" s="185"/>
      <c r="J69" s="71"/>
      <c r="K69" s="185"/>
      <c r="L69" s="178"/>
      <c r="M69" s="178"/>
      <c r="N69" s="178"/>
      <c r="O69" s="185"/>
      <c r="P69" s="72">
        <v>4</v>
      </c>
      <c r="Q69" s="185"/>
      <c r="R69" s="72">
        <v>2</v>
      </c>
      <c r="S69" s="185"/>
      <c r="T69" s="73">
        <f t="shared" ref="T69:T72" si="3">ROUNDUP(((0*$P69)+(100%*$R69)),0)</f>
        <v>2</v>
      </c>
      <c r="U69" s="185"/>
      <c r="V69" s="74">
        <f>T69/5</f>
        <v>0.4</v>
      </c>
      <c r="W69" s="185"/>
      <c r="X69" s="179" t="str">
        <f>IF($T69&lt;1,"",(IF($T69=1,"Not Working Out",(IF($T69=2,"Needs Improvement",(IF($T69=3,"Fully Proficient",(IF($T69=4,"Excellent",(IF($T69=5,"Singularly Exceptional","")))))))))))</f>
        <v>Needs Improvement</v>
      </c>
      <c r="Y69" s="179"/>
      <c r="Z69" s="180"/>
      <c r="AA69" s="60"/>
    </row>
    <row r="70" spans="2:27" s="61" customFormat="1" ht="37.5" customHeight="1" thickBot="1">
      <c r="B70" s="59"/>
      <c r="C70" s="203"/>
      <c r="D70" s="204"/>
      <c r="E70" s="205"/>
      <c r="F70" s="70"/>
      <c r="G70" s="185"/>
      <c r="H70" s="81">
        <v>0.05</v>
      </c>
      <c r="I70" s="185"/>
      <c r="J70" s="71"/>
      <c r="K70" s="185"/>
      <c r="L70" s="178"/>
      <c r="M70" s="178"/>
      <c r="N70" s="178"/>
      <c r="O70" s="185"/>
      <c r="P70" s="72"/>
      <c r="Q70" s="185"/>
      <c r="R70" s="72"/>
      <c r="S70" s="185"/>
      <c r="T70" s="73">
        <f t="shared" si="3"/>
        <v>0</v>
      </c>
      <c r="U70" s="185"/>
      <c r="V70" s="74">
        <f>T70/5</f>
        <v>0</v>
      </c>
      <c r="W70" s="185"/>
      <c r="X70" s="179" t="str">
        <f>IF($T70&lt;1,"",(IF($T70=1,"Not Working Out",(IF($T70=2,"Needs Improvement",(IF($T70=3,"Fully Proficient",(IF($T70=4,"Excellent",(IF($T70=5,"Singularly Exceptional","")))))))))))</f>
        <v/>
      </c>
      <c r="Y70" s="179"/>
      <c r="Z70" s="180"/>
      <c r="AA70" s="60"/>
    </row>
    <row r="71" spans="2:27" s="61" customFormat="1" ht="37.5" customHeight="1" thickBot="1">
      <c r="B71" s="59"/>
      <c r="C71" s="203"/>
      <c r="D71" s="204"/>
      <c r="E71" s="205"/>
      <c r="F71" s="70"/>
      <c r="G71" s="185"/>
      <c r="H71" s="81">
        <v>0.05</v>
      </c>
      <c r="I71" s="185"/>
      <c r="J71" s="71"/>
      <c r="K71" s="185"/>
      <c r="L71" s="178"/>
      <c r="M71" s="178"/>
      <c r="N71" s="178"/>
      <c r="O71" s="185"/>
      <c r="P71" s="72"/>
      <c r="Q71" s="185"/>
      <c r="R71" s="72"/>
      <c r="S71" s="185"/>
      <c r="T71" s="73">
        <f t="shared" si="3"/>
        <v>0</v>
      </c>
      <c r="U71" s="185"/>
      <c r="V71" s="74">
        <f>T71/5</f>
        <v>0</v>
      </c>
      <c r="W71" s="185"/>
      <c r="X71" s="179" t="str">
        <f>IF($T71&lt;1,"",(IF($T71=1,"Not Working Out",(IF($T71=2,"Needs Improvement",(IF($T71=3,"Fully Proficient",(IF($T71=4,"Excellent",(IF($T71=5,"Singularly Exceptional","")))))))))))</f>
        <v/>
      </c>
      <c r="Y71" s="179"/>
      <c r="Z71" s="180"/>
      <c r="AA71" s="60"/>
    </row>
    <row r="72" spans="2:27" s="61" customFormat="1" ht="37.5" customHeight="1">
      <c r="B72" s="59"/>
      <c r="C72" s="203"/>
      <c r="D72" s="204"/>
      <c r="E72" s="205"/>
      <c r="F72" s="70"/>
      <c r="G72" s="186"/>
      <c r="H72" s="81">
        <v>0.05</v>
      </c>
      <c r="I72" s="186"/>
      <c r="J72" s="71"/>
      <c r="K72" s="186"/>
      <c r="L72" s="178"/>
      <c r="M72" s="178"/>
      <c r="N72" s="178"/>
      <c r="O72" s="186"/>
      <c r="P72" s="72"/>
      <c r="Q72" s="186"/>
      <c r="R72" s="72"/>
      <c r="S72" s="186"/>
      <c r="T72" s="73">
        <f t="shared" si="3"/>
        <v>0</v>
      </c>
      <c r="U72" s="186"/>
      <c r="V72" s="74">
        <f>T72/5</f>
        <v>0</v>
      </c>
      <c r="W72" s="186"/>
      <c r="X72" s="179" t="str">
        <f>IF($T72&lt;1,"",(IF($T72=1,"Not Working Out",(IF($T72=2,"Needs Improvement",(IF($T72=3,"Fully Proficient",(IF($T72=4,"Excellent",(IF($T72=5,"Singularly Exceptional","")))))))))))</f>
        <v/>
      </c>
      <c r="Y72" s="179"/>
      <c r="Z72" s="180"/>
      <c r="AA72" s="60"/>
    </row>
    <row r="73" spans="2:27" s="17" customFormat="1" ht="12.75" customHeight="1">
      <c r="B73" s="15"/>
      <c r="C73" s="203"/>
      <c r="D73" s="204"/>
      <c r="E73" s="205"/>
      <c r="F73" s="33"/>
      <c r="G73" s="33"/>
      <c r="H73" s="34">
        <f>SUM(H69:H72)</f>
        <v>0.2</v>
      </c>
      <c r="I73" s="35"/>
      <c r="J73" s="35"/>
      <c r="K73" s="35"/>
      <c r="L73" s="188"/>
      <c r="M73" s="188"/>
      <c r="N73" s="188"/>
      <c r="O73" s="35"/>
      <c r="P73" s="35">
        <f>SUM(P69:P72)</f>
        <v>4</v>
      </c>
      <c r="Q73" s="35">
        <v>3</v>
      </c>
      <c r="R73" s="35">
        <f>SUM(R69:R72)</f>
        <v>2</v>
      </c>
      <c r="S73" s="35"/>
      <c r="T73" s="36">
        <f>SUM(T69:T72)</f>
        <v>2</v>
      </c>
      <c r="U73" s="35"/>
      <c r="V73" s="80">
        <f>IFERROR(((T73/20)*$H73),0)</f>
        <v>2.0000000000000004E-2</v>
      </c>
      <c r="W73" s="35"/>
      <c r="X73" s="35"/>
      <c r="Y73" s="33"/>
      <c r="Z73" s="110"/>
      <c r="AA73" s="16"/>
    </row>
    <row r="74" spans="2:27" s="61" customFormat="1" ht="6" customHeight="1" thickBot="1">
      <c r="B74" s="59"/>
      <c r="C74" s="206"/>
      <c r="D74" s="207"/>
      <c r="E74" s="208"/>
      <c r="F74" s="111"/>
      <c r="G74" s="111"/>
      <c r="H74" s="112"/>
      <c r="I74" s="111"/>
      <c r="J74" s="111"/>
      <c r="K74" s="111"/>
      <c r="L74" s="111"/>
      <c r="M74" s="111"/>
      <c r="N74" s="111"/>
      <c r="O74" s="111"/>
      <c r="P74" s="111"/>
      <c r="Q74" s="111"/>
      <c r="R74" s="111"/>
      <c r="S74" s="111"/>
      <c r="T74" s="111"/>
      <c r="U74" s="111"/>
      <c r="V74" s="111"/>
      <c r="W74" s="111"/>
      <c r="X74" s="111"/>
      <c r="Y74" s="111"/>
      <c r="Z74" s="113"/>
      <c r="AA74" s="60"/>
    </row>
    <row r="75" spans="2:27" ht="8.25" customHeight="1" thickBot="1">
      <c r="B75" s="76"/>
      <c r="C75" s="77"/>
      <c r="D75" s="77"/>
      <c r="E75" s="77"/>
      <c r="F75" s="77"/>
      <c r="G75" s="77"/>
      <c r="H75" s="77"/>
      <c r="I75" s="77"/>
      <c r="J75" s="77"/>
      <c r="K75" s="77"/>
      <c r="L75" s="77"/>
      <c r="M75" s="77"/>
      <c r="N75" s="77"/>
      <c r="O75" s="77"/>
      <c r="P75" s="77"/>
      <c r="Q75" s="77"/>
      <c r="R75" s="77"/>
      <c r="S75" s="77"/>
      <c r="T75" s="77"/>
      <c r="U75" s="77"/>
      <c r="V75" s="77"/>
      <c r="W75" s="77"/>
      <c r="X75" s="77"/>
      <c r="Y75" s="77"/>
      <c r="Z75" s="77"/>
      <c r="AA75" s="78"/>
    </row>
    <row r="76" spans="2:27" s="49" customFormat="1" ht="4.5" customHeight="1" thickBot="1"/>
    <row r="77" spans="2:27" s="24" customFormat="1" ht="16.5" customHeight="1" thickBot="1">
      <c r="B77" s="25"/>
      <c r="C77" s="26" t="s">
        <v>57</v>
      </c>
      <c r="D77" s="27"/>
      <c r="E77" s="27"/>
      <c r="F77" s="27"/>
      <c r="G77" s="27"/>
      <c r="H77" s="27"/>
      <c r="I77" s="27"/>
      <c r="J77" s="27"/>
      <c r="K77" s="27"/>
      <c r="L77" s="27"/>
      <c r="M77" s="27"/>
      <c r="N77" s="27"/>
      <c r="O77" s="27"/>
      <c r="P77" s="27"/>
      <c r="Q77" s="27"/>
      <c r="R77" s="27"/>
      <c r="S77" s="27"/>
      <c r="T77" s="27"/>
      <c r="U77" s="27"/>
      <c r="V77" s="27"/>
      <c r="W77" s="27"/>
      <c r="X77" s="27"/>
      <c r="Y77" s="27"/>
      <c r="Z77" s="27"/>
      <c r="AA77" s="28"/>
    </row>
    <row r="78" spans="2:27" s="29" customFormat="1" ht="37.5" customHeight="1" thickBot="1">
      <c r="B78" s="30"/>
      <c r="C78" s="181" t="s">
        <v>51</v>
      </c>
      <c r="D78" s="182"/>
      <c r="E78" s="183"/>
      <c r="F78" s="31" t="s">
        <v>49</v>
      </c>
      <c r="G78" s="209"/>
      <c r="H78" s="31" t="s">
        <v>48</v>
      </c>
      <c r="I78" s="209"/>
      <c r="J78" s="31" t="s">
        <v>53</v>
      </c>
      <c r="K78" s="209"/>
      <c r="L78" s="213" t="s">
        <v>52</v>
      </c>
      <c r="M78" s="213"/>
      <c r="N78" s="213"/>
      <c r="O78" s="209"/>
      <c r="P78" s="31" t="s">
        <v>23</v>
      </c>
      <c r="Q78" s="209"/>
      <c r="R78" s="31" t="s">
        <v>24</v>
      </c>
      <c r="S78" s="209"/>
      <c r="T78" s="31" t="s">
        <v>22</v>
      </c>
      <c r="U78" s="209"/>
      <c r="V78" s="31" t="s">
        <v>21</v>
      </c>
      <c r="W78" s="209"/>
      <c r="X78" s="210" t="s">
        <v>25</v>
      </c>
      <c r="Y78" s="210"/>
      <c r="Z78" s="211"/>
      <c r="AA78" s="32"/>
    </row>
    <row r="79" spans="2:27" s="61" customFormat="1" ht="6" customHeight="1" thickBot="1">
      <c r="B79" s="59"/>
      <c r="C79" s="82"/>
      <c r="D79" s="83"/>
      <c r="E79" s="84"/>
      <c r="F79" s="66"/>
      <c r="G79" s="185"/>
      <c r="H79" s="67"/>
      <c r="I79" s="185"/>
      <c r="J79" s="66"/>
      <c r="K79" s="185"/>
      <c r="L79" s="66"/>
      <c r="M79" s="66"/>
      <c r="N79" s="66"/>
      <c r="O79" s="185"/>
      <c r="P79" s="68"/>
      <c r="Q79" s="185"/>
      <c r="R79" s="68"/>
      <c r="S79" s="185"/>
      <c r="T79" s="68"/>
      <c r="U79" s="185"/>
      <c r="V79" s="68"/>
      <c r="W79" s="185"/>
      <c r="X79" s="66"/>
      <c r="Y79" s="66"/>
      <c r="Z79" s="69"/>
      <c r="AA79" s="60"/>
    </row>
    <row r="80" spans="2:27" s="61" customFormat="1" ht="24.75" thickBot="1">
      <c r="B80" s="59"/>
      <c r="C80" s="233" t="s">
        <v>58</v>
      </c>
      <c r="D80" s="234"/>
      <c r="E80" s="235"/>
      <c r="F80" s="70" t="s">
        <v>26</v>
      </c>
      <c r="G80" s="185"/>
      <c r="H80" s="81">
        <v>0.04</v>
      </c>
      <c r="I80" s="185"/>
      <c r="J80" s="71" t="s">
        <v>37</v>
      </c>
      <c r="K80" s="185"/>
      <c r="L80" s="178"/>
      <c r="M80" s="178"/>
      <c r="N80" s="178"/>
      <c r="O80" s="185"/>
      <c r="P80" s="72">
        <v>3</v>
      </c>
      <c r="Q80" s="185"/>
      <c r="R80" s="72">
        <v>3</v>
      </c>
      <c r="S80" s="185"/>
      <c r="T80" s="73">
        <f t="shared" ref="T80:T85" si="4">ROUNDUP(((0*$P80)+(100%*$R80)),0)</f>
        <v>3</v>
      </c>
      <c r="U80" s="185"/>
      <c r="V80" s="74">
        <f t="shared" ref="V80:V85" si="5">T80/5</f>
        <v>0.6</v>
      </c>
      <c r="W80" s="185"/>
      <c r="X80" s="179" t="str">
        <f t="shared" ref="X80:X85" si="6">IF($T80&lt;1,"",(IF($T80=1,"Not Working Out",(IF($T80=2,"Needs Improvement",(IF($T80=3,"Fully Proficient",(IF($T80=4,"Excellent",(IF($T80=5,"Singularly Exceptional","")))))))))))</f>
        <v>Fully Proficient</v>
      </c>
      <c r="Y80" s="179"/>
      <c r="Z80" s="212"/>
      <c r="AA80" s="60"/>
    </row>
    <row r="81" spans="2:27" s="61" customFormat="1" ht="37.5" customHeight="1" thickBot="1">
      <c r="B81" s="59"/>
      <c r="C81" s="233"/>
      <c r="D81" s="234"/>
      <c r="E81" s="235"/>
      <c r="F81" s="70" t="s">
        <v>64</v>
      </c>
      <c r="G81" s="185"/>
      <c r="H81" s="81">
        <v>0.04</v>
      </c>
      <c r="I81" s="185"/>
      <c r="J81" s="71" t="s">
        <v>61</v>
      </c>
      <c r="K81" s="185"/>
      <c r="L81" s="178"/>
      <c r="M81" s="178"/>
      <c r="N81" s="178"/>
      <c r="O81" s="185"/>
      <c r="P81" s="72">
        <v>3</v>
      </c>
      <c r="Q81" s="185"/>
      <c r="R81" s="72">
        <v>2</v>
      </c>
      <c r="S81" s="185"/>
      <c r="T81" s="73">
        <f t="shared" si="4"/>
        <v>2</v>
      </c>
      <c r="U81" s="185"/>
      <c r="V81" s="74">
        <f t="shared" si="5"/>
        <v>0.4</v>
      </c>
      <c r="W81" s="185"/>
      <c r="X81" s="179" t="str">
        <f t="shared" si="6"/>
        <v>Needs Improvement</v>
      </c>
      <c r="Y81" s="179"/>
      <c r="Z81" s="212"/>
      <c r="AA81" s="60"/>
    </row>
    <row r="82" spans="2:27" s="61" customFormat="1" ht="37.5" customHeight="1" thickBot="1">
      <c r="B82" s="59"/>
      <c r="C82" s="233"/>
      <c r="D82" s="234"/>
      <c r="E82" s="235"/>
      <c r="F82" s="70" t="s">
        <v>27</v>
      </c>
      <c r="G82" s="185"/>
      <c r="H82" s="81">
        <v>0.03</v>
      </c>
      <c r="I82" s="185"/>
      <c r="J82" s="71" t="s">
        <v>38</v>
      </c>
      <c r="K82" s="185"/>
      <c r="L82" s="178"/>
      <c r="M82" s="178"/>
      <c r="N82" s="178"/>
      <c r="O82" s="185"/>
      <c r="P82" s="72">
        <v>3</v>
      </c>
      <c r="Q82" s="185"/>
      <c r="R82" s="72">
        <v>2</v>
      </c>
      <c r="S82" s="185"/>
      <c r="T82" s="73">
        <f t="shared" si="4"/>
        <v>2</v>
      </c>
      <c r="U82" s="185"/>
      <c r="V82" s="74">
        <f t="shared" si="5"/>
        <v>0.4</v>
      </c>
      <c r="W82" s="185"/>
      <c r="X82" s="179" t="str">
        <f t="shared" si="6"/>
        <v>Needs Improvement</v>
      </c>
      <c r="Y82" s="179"/>
      <c r="Z82" s="212"/>
      <c r="AA82" s="60"/>
    </row>
    <row r="83" spans="2:27" s="61" customFormat="1" ht="48.75" thickBot="1">
      <c r="B83" s="59"/>
      <c r="C83" s="233"/>
      <c r="D83" s="234"/>
      <c r="E83" s="235"/>
      <c r="F83" s="70" t="s">
        <v>28</v>
      </c>
      <c r="G83" s="185"/>
      <c r="H83" s="81">
        <v>0.03</v>
      </c>
      <c r="I83" s="185"/>
      <c r="J83" s="71" t="s">
        <v>39</v>
      </c>
      <c r="K83" s="185"/>
      <c r="L83" s="178"/>
      <c r="M83" s="178"/>
      <c r="N83" s="178"/>
      <c r="O83" s="185"/>
      <c r="P83" s="72">
        <v>3</v>
      </c>
      <c r="Q83" s="185"/>
      <c r="R83" s="72">
        <v>2</v>
      </c>
      <c r="S83" s="185"/>
      <c r="T83" s="73">
        <f t="shared" si="4"/>
        <v>2</v>
      </c>
      <c r="U83" s="185"/>
      <c r="V83" s="74">
        <f t="shared" si="5"/>
        <v>0.4</v>
      </c>
      <c r="W83" s="185"/>
      <c r="X83" s="179" t="str">
        <f t="shared" si="6"/>
        <v>Needs Improvement</v>
      </c>
      <c r="Y83" s="179"/>
      <c r="Z83" s="212"/>
      <c r="AA83" s="60"/>
    </row>
    <row r="84" spans="2:27" s="61" customFormat="1" ht="48.75" thickBot="1">
      <c r="B84" s="59"/>
      <c r="C84" s="233"/>
      <c r="D84" s="234"/>
      <c r="E84" s="235"/>
      <c r="F84" s="70" t="s">
        <v>59</v>
      </c>
      <c r="G84" s="185"/>
      <c r="H84" s="81">
        <v>0.03</v>
      </c>
      <c r="I84" s="185"/>
      <c r="J84" s="71" t="s">
        <v>63</v>
      </c>
      <c r="K84" s="185"/>
      <c r="L84" s="178"/>
      <c r="M84" s="178"/>
      <c r="N84" s="178"/>
      <c r="O84" s="185"/>
      <c r="P84" s="72">
        <v>3</v>
      </c>
      <c r="Q84" s="185"/>
      <c r="R84" s="72">
        <v>2</v>
      </c>
      <c r="S84" s="185"/>
      <c r="T84" s="73">
        <f t="shared" si="4"/>
        <v>2</v>
      </c>
      <c r="U84" s="185"/>
      <c r="V84" s="74">
        <f t="shared" si="5"/>
        <v>0.4</v>
      </c>
      <c r="W84" s="185"/>
      <c r="X84" s="179" t="str">
        <f t="shared" si="6"/>
        <v>Needs Improvement</v>
      </c>
      <c r="Y84" s="179"/>
      <c r="Z84" s="212"/>
      <c r="AA84" s="60"/>
    </row>
    <row r="85" spans="2:27" s="61" customFormat="1" ht="37.5" customHeight="1">
      <c r="B85" s="59"/>
      <c r="C85" s="233"/>
      <c r="D85" s="234"/>
      <c r="E85" s="235"/>
      <c r="F85" s="70" t="s">
        <v>60</v>
      </c>
      <c r="G85" s="186"/>
      <c r="H85" s="81">
        <v>0.03</v>
      </c>
      <c r="I85" s="186"/>
      <c r="J85" s="71" t="s">
        <v>62</v>
      </c>
      <c r="K85" s="186"/>
      <c r="L85" s="178"/>
      <c r="M85" s="178"/>
      <c r="N85" s="178"/>
      <c r="O85" s="186"/>
      <c r="P85" s="72">
        <v>3</v>
      </c>
      <c r="Q85" s="186"/>
      <c r="R85" s="72">
        <v>2</v>
      </c>
      <c r="S85" s="186"/>
      <c r="T85" s="73">
        <f t="shared" si="4"/>
        <v>2</v>
      </c>
      <c r="U85" s="186"/>
      <c r="V85" s="74">
        <f t="shared" si="5"/>
        <v>0.4</v>
      </c>
      <c r="W85" s="186"/>
      <c r="X85" s="179" t="str">
        <f t="shared" si="6"/>
        <v>Needs Improvement</v>
      </c>
      <c r="Y85" s="179"/>
      <c r="Z85" s="212"/>
      <c r="AA85" s="60"/>
    </row>
    <row r="86" spans="2:27" s="17" customFormat="1" ht="12.75" customHeight="1">
      <c r="B86" s="15"/>
      <c r="C86" s="233"/>
      <c r="D86" s="234"/>
      <c r="E86" s="235"/>
      <c r="F86" s="33"/>
      <c r="G86" s="33"/>
      <c r="H86" s="34">
        <f>SUM(H80:H85)</f>
        <v>0.2</v>
      </c>
      <c r="I86" s="35"/>
      <c r="J86" s="35"/>
      <c r="K86" s="35"/>
      <c r="L86" s="188"/>
      <c r="M86" s="188"/>
      <c r="N86" s="188"/>
      <c r="O86" s="35"/>
      <c r="P86" s="35">
        <f>SUM(P80:P85)</f>
        <v>18</v>
      </c>
      <c r="Q86" s="35"/>
      <c r="R86" s="35">
        <f>SUM(R80:R85)</f>
        <v>13</v>
      </c>
      <c r="S86" s="35"/>
      <c r="T86" s="36">
        <f>SUM(T80:T85)</f>
        <v>13</v>
      </c>
      <c r="U86" s="35"/>
      <c r="V86" s="80">
        <f>IFERROR(((T86/30)*$H86),0)</f>
        <v>8.666666666666667E-2</v>
      </c>
      <c r="W86" s="35"/>
      <c r="X86" s="34"/>
      <c r="Y86" s="33"/>
      <c r="Z86" s="37"/>
      <c r="AA86" s="16"/>
    </row>
    <row r="87" spans="2:27" s="61" customFormat="1" ht="6" customHeight="1" thickBot="1">
      <c r="B87" s="59"/>
      <c r="C87" s="233"/>
      <c r="D87" s="234"/>
      <c r="E87" s="235"/>
      <c r="F87" s="63"/>
      <c r="G87" s="63"/>
      <c r="H87" s="64"/>
      <c r="I87" s="63"/>
      <c r="J87" s="63"/>
      <c r="K87" s="63"/>
      <c r="L87" s="63"/>
      <c r="M87" s="63"/>
      <c r="N87" s="63"/>
      <c r="O87" s="63"/>
      <c r="P87" s="63"/>
      <c r="Q87" s="63"/>
      <c r="R87" s="63"/>
      <c r="S87" s="63"/>
      <c r="T87" s="63"/>
      <c r="U87" s="63"/>
      <c r="V87" s="63"/>
      <c r="W87" s="63"/>
      <c r="X87" s="63"/>
      <c r="Y87" s="63"/>
      <c r="Z87" s="75"/>
      <c r="AA87" s="60"/>
    </row>
    <row r="88" spans="2:27" ht="8.25" customHeight="1" thickBot="1">
      <c r="B88" s="76"/>
      <c r="C88" s="236"/>
      <c r="D88" s="237"/>
      <c r="E88" s="238"/>
      <c r="F88" s="77"/>
      <c r="G88" s="77"/>
      <c r="H88" s="77"/>
      <c r="I88" s="77"/>
      <c r="J88" s="77"/>
      <c r="K88" s="77"/>
      <c r="L88" s="77"/>
      <c r="M88" s="77"/>
      <c r="N88" s="77"/>
      <c r="O88" s="77"/>
      <c r="P88" s="77"/>
      <c r="Q88" s="77"/>
      <c r="R88" s="77"/>
      <c r="S88" s="77"/>
      <c r="T88" s="77"/>
      <c r="U88" s="77"/>
      <c r="V88" s="77"/>
      <c r="W88" s="77"/>
      <c r="X88" s="77"/>
      <c r="Y88" s="77"/>
      <c r="Z88" s="77"/>
      <c r="AA88" s="78"/>
    </row>
    <row r="89" spans="2:27" s="3" customFormat="1" ht="5.25" customHeight="1" thickBot="1"/>
    <row r="90" spans="2:27" s="3" customFormat="1" ht="4.5" customHeight="1">
      <c r="B90" s="4"/>
      <c r="C90" s="5"/>
      <c r="D90" s="5"/>
      <c r="E90" s="5"/>
      <c r="F90" s="5"/>
      <c r="G90" s="5"/>
      <c r="H90" s="5"/>
      <c r="I90" s="5"/>
      <c r="J90" s="5"/>
      <c r="K90" s="5"/>
      <c r="L90" s="5"/>
      <c r="M90" s="5"/>
      <c r="N90" s="5"/>
      <c r="O90" s="5"/>
      <c r="P90" s="5"/>
      <c r="Q90" s="5"/>
      <c r="R90" s="5"/>
      <c r="S90" s="5"/>
      <c r="T90" s="5"/>
      <c r="U90" s="5"/>
      <c r="V90" s="5"/>
      <c r="W90" s="5"/>
      <c r="X90" s="5"/>
      <c r="Y90" s="5"/>
      <c r="Z90" s="5"/>
      <c r="AA90" s="6"/>
    </row>
    <row r="91" spans="2:27" s="85" customFormat="1" ht="28.5" customHeight="1">
      <c r="B91" s="42"/>
      <c r="C91" s="87" t="s">
        <v>29</v>
      </c>
      <c r="D91" s="87"/>
      <c r="E91" s="87"/>
      <c r="F91" s="88"/>
      <c r="G91" s="88"/>
      <c r="H91" s="115">
        <f>H86+H73+H62+H51+H40</f>
        <v>1</v>
      </c>
      <c r="I91" s="89"/>
      <c r="J91" s="89"/>
      <c r="K91" s="89"/>
      <c r="L91" s="231"/>
      <c r="M91" s="231"/>
      <c r="N91" s="231"/>
      <c r="O91" s="89"/>
      <c r="P91" s="116"/>
      <c r="Q91" s="114">
        <v>3</v>
      </c>
      <c r="R91" s="116"/>
      <c r="S91" s="114"/>
      <c r="T91" s="119">
        <f>LOOKUP($V91,$AB$22:$AD$26)</f>
        <v>1</v>
      </c>
      <c r="U91" s="89"/>
      <c r="V91" s="43">
        <f>V86+V73+V62+V51+V40</f>
        <v>0.28666666666666668</v>
      </c>
      <c r="W91" s="44"/>
      <c r="X91" s="232" t="str">
        <f>IF($T91&lt;1,"",(IF($T91=1,"Not Working Out",(IF($T91=2,"Needs Improvement",(IF($T91=3,"Fully Proficient",(IF($T91=4,"Excellent",(IF($T91=5,"Singularly Exceptional","")))))))))))</f>
        <v>Not Working Out</v>
      </c>
      <c r="Y91" s="232"/>
      <c r="Z91" s="232"/>
      <c r="AA91" s="86"/>
    </row>
    <row r="92" spans="2:27" s="8" customFormat="1" ht="6" customHeight="1" thickBot="1">
      <c r="B92" s="11"/>
      <c r="C92" s="7"/>
      <c r="D92" s="7"/>
      <c r="E92" s="7"/>
      <c r="F92" s="9"/>
      <c r="G92" s="9"/>
      <c r="H92" s="10"/>
      <c r="I92" s="9"/>
      <c r="J92" s="9"/>
      <c r="K92" s="9"/>
      <c r="L92" s="9"/>
      <c r="M92" s="9"/>
      <c r="N92" s="9"/>
      <c r="O92" s="9"/>
      <c r="P92" s="9"/>
      <c r="Q92" s="9"/>
      <c r="R92" s="9"/>
      <c r="S92" s="9"/>
      <c r="T92" s="9"/>
      <c r="U92" s="9"/>
      <c r="V92" s="9"/>
      <c r="W92" s="9"/>
      <c r="X92" s="9"/>
      <c r="Y92" s="9"/>
      <c r="Z92" s="9"/>
      <c r="AA92" s="12"/>
    </row>
    <row r="93" spans="2:27" s="3" customFormat="1" ht="6" customHeight="1" thickBot="1"/>
    <row r="94" spans="2:27" s="45" customFormat="1" ht="15.75" customHeight="1" thickBot="1">
      <c r="B94" s="46"/>
      <c r="C94" s="38" t="s">
        <v>66</v>
      </c>
      <c r="D94" s="38"/>
      <c r="E94" s="38"/>
      <c r="F94" s="38"/>
      <c r="G94" s="38"/>
      <c r="H94" s="38"/>
      <c r="I94" s="38"/>
      <c r="J94" s="38"/>
      <c r="K94" s="38"/>
      <c r="L94" s="38"/>
      <c r="M94" s="38"/>
      <c r="N94" s="38"/>
      <c r="O94" s="38"/>
      <c r="P94" s="38"/>
      <c r="Q94" s="38"/>
      <c r="R94" s="38"/>
      <c r="S94" s="38"/>
      <c r="T94" s="38"/>
      <c r="U94" s="38"/>
      <c r="V94" s="38"/>
      <c r="W94" s="38"/>
      <c r="X94" s="38"/>
      <c r="Y94" s="38"/>
      <c r="Z94" s="38"/>
      <c r="AA94" s="47"/>
    </row>
    <row r="95" spans="2:27" s="90" customFormat="1" ht="12" customHeight="1">
      <c r="B95" s="42"/>
      <c r="C95" s="214" t="s">
        <v>31</v>
      </c>
      <c r="D95" s="215"/>
      <c r="E95" s="215"/>
      <c r="F95" s="218"/>
      <c r="G95" s="192"/>
      <c r="H95" s="192"/>
      <c r="I95" s="192"/>
      <c r="J95" s="192"/>
      <c r="K95" s="192"/>
      <c r="L95" s="192"/>
      <c r="M95" s="192"/>
      <c r="N95" s="192"/>
      <c r="O95" s="192"/>
      <c r="P95" s="192"/>
      <c r="Q95" s="192"/>
      <c r="R95" s="193"/>
      <c r="S95" s="91"/>
      <c r="T95" s="228" t="s">
        <v>30</v>
      </c>
      <c r="U95" s="229"/>
      <c r="V95" s="229"/>
      <c r="W95" s="229"/>
      <c r="X95" s="229"/>
      <c r="Y95" s="229"/>
      <c r="Z95" s="230"/>
      <c r="AA95" s="92"/>
    </row>
    <row r="96" spans="2:27" s="90" customFormat="1" ht="37.5" customHeight="1" thickBot="1">
      <c r="B96" s="42"/>
      <c r="C96" s="216"/>
      <c r="D96" s="217"/>
      <c r="E96" s="217"/>
      <c r="F96" s="219"/>
      <c r="G96" s="220"/>
      <c r="H96" s="220"/>
      <c r="I96" s="220"/>
      <c r="J96" s="220"/>
      <c r="K96" s="220"/>
      <c r="L96" s="220"/>
      <c r="M96" s="220"/>
      <c r="N96" s="220"/>
      <c r="O96" s="220"/>
      <c r="P96" s="220"/>
      <c r="Q96" s="220"/>
      <c r="R96" s="221"/>
      <c r="S96" s="91"/>
      <c r="T96" s="225"/>
      <c r="U96" s="226"/>
      <c r="V96" s="226"/>
      <c r="W96" s="226"/>
      <c r="X96" s="226"/>
      <c r="Y96" s="226"/>
      <c r="Z96" s="227"/>
      <c r="AA96" s="92"/>
    </row>
    <row r="97" spans="2:27" s="45" customFormat="1" ht="9.75" customHeight="1" thickBot="1">
      <c r="B97" s="93"/>
      <c r="C97" s="48"/>
      <c r="D97" s="48"/>
      <c r="E97" s="48"/>
      <c r="F97" s="48"/>
      <c r="G97" s="48"/>
      <c r="H97" s="48"/>
      <c r="I97" s="48"/>
      <c r="J97" s="48"/>
      <c r="K97" s="48"/>
      <c r="L97" s="48"/>
      <c r="M97" s="48"/>
      <c r="N97" s="48"/>
      <c r="O97" s="48"/>
      <c r="P97" s="48"/>
      <c r="Q97" s="48"/>
      <c r="R97" s="48"/>
      <c r="S97" s="48"/>
      <c r="T97" s="48"/>
      <c r="U97" s="48"/>
      <c r="V97" s="48"/>
      <c r="W97" s="48"/>
      <c r="X97" s="48"/>
      <c r="Y97" s="48"/>
      <c r="Z97" s="48"/>
      <c r="AA97" s="94"/>
    </row>
    <row r="98" spans="2:27" s="45" customFormat="1" ht="7.5" customHeight="1" thickBot="1"/>
    <row r="99" spans="2:27" s="45" customFormat="1" ht="15.75" customHeight="1" thickBot="1">
      <c r="B99" s="46"/>
      <c r="C99" s="38" t="s">
        <v>67</v>
      </c>
      <c r="D99" s="38"/>
      <c r="E99" s="38"/>
      <c r="F99" s="38"/>
      <c r="G99" s="38"/>
      <c r="H99" s="38"/>
      <c r="I99" s="38"/>
      <c r="J99" s="38"/>
      <c r="K99" s="38"/>
      <c r="L99" s="38"/>
      <c r="M99" s="38"/>
      <c r="N99" s="38"/>
      <c r="O99" s="38"/>
      <c r="P99" s="38"/>
      <c r="Q99" s="38"/>
      <c r="R99" s="38"/>
      <c r="S99" s="38"/>
      <c r="T99" s="38"/>
      <c r="U99" s="38"/>
      <c r="V99" s="38"/>
      <c r="W99" s="38"/>
      <c r="X99" s="38"/>
      <c r="Y99" s="38"/>
      <c r="Z99" s="38"/>
      <c r="AA99" s="47"/>
    </row>
    <row r="100" spans="2:27" s="90" customFormat="1" ht="12" customHeight="1">
      <c r="B100" s="42"/>
      <c r="C100" s="214" t="s">
        <v>32</v>
      </c>
      <c r="D100" s="215"/>
      <c r="E100" s="215"/>
      <c r="F100" s="218"/>
      <c r="G100" s="192"/>
      <c r="H100" s="192"/>
      <c r="I100" s="192"/>
      <c r="J100" s="192"/>
      <c r="K100" s="192"/>
      <c r="L100" s="192"/>
      <c r="M100" s="192"/>
      <c r="N100" s="192"/>
      <c r="O100" s="192"/>
      <c r="P100" s="192"/>
      <c r="Q100" s="192"/>
      <c r="R100" s="193"/>
      <c r="S100" s="91"/>
      <c r="T100" s="222" t="s">
        <v>34</v>
      </c>
      <c r="U100" s="223"/>
      <c r="V100" s="223"/>
      <c r="W100" s="223"/>
      <c r="X100" s="223"/>
      <c r="Y100" s="223"/>
      <c r="Z100" s="224"/>
      <c r="AA100" s="92"/>
    </row>
    <row r="101" spans="2:27" s="90" customFormat="1" ht="39.75" customHeight="1" thickBot="1">
      <c r="B101" s="42"/>
      <c r="C101" s="216"/>
      <c r="D101" s="217"/>
      <c r="E101" s="217"/>
      <c r="F101" s="219"/>
      <c r="G101" s="220"/>
      <c r="H101" s="220"/>
      <c r="I101" s="220"/>
      <c r="J101" s="220"/>
      <c r="K101" s="220"/>
      <c r="L101" s="220"/>
      <c r="M101" s="220"/>
      <c r="N101" s="220"/>
      <c r="O101" s="220"/>
      <c r="P101" s="220"/>
      <c r="Q101" s="220"/>
      <c r="R101" s="221"/>
      <c r="S101" s="91"/>
      <c r="T101" s="225"/>
      <c r="U101" s="226"/>
      <c r="V101" s="226"/>
      <c r="W101" s="226"/>
      <c r="X101" s="226"/>
      <c r="Y101" s="226"/>
      <c r="Z101" s="227"/>
      <c r="AA101" s="92"/>
    </row>
    <row r="102" spans="2:27" s="45" customFormat="1" ht="9.75" customHeight="1" thickBot="1">
      <c r="B102" s="93"/>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94"/>
    </row>
    <row r="103" spans="2:27" s="45" customFormat="1" ht="15.75" thickBot="1"/>
    <row r="104" spans="2:27" s="45" customFormat="1" ht="15.75" customHeight="1" thickBot="1">
      <c r="B104" s="46"/>
      <c r="C104" s="38" t="s">
        <v>68</v>
      </c>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47"/>
    </row>
    <row r="105" spans="2:27" s="90" customFormat="1" ht="12" customHeight="1">
      <c r="B105" s="42"/>
      <c r="C105" s="214" t="s">
        <v>33</v>
      </c>
      <c r="D105" s="215"/>
      <c r="E105" s="215"/>
      <c r="F105" s="218"/>
      <c r="G105" s="192"/>
      <c r="H105" s="192"/>
      <c r="I105" s="192"/>
      <c r="J105" s="192"/>
      <c r="K105" s="192"/>
      <c r="L105" s="192"/>
      <c r="M105" s="192"/>
      <c r="N105" s="192"/>
      <c r="O105" s="192"/>
      <c r="P105" s="192"/>
      <c r="Q105" s="192"/>
      <c r="R105" s="193"/>
      <c r="S105" s="91"/>
      <c r="T105" s="228" t="s">
        <v>65</v>
      </c>
      <c r="U105" s="229"/>
      <c r="V105" s="229"/>
      <c r="W105" s="229"/>
      <c r="X105" s="229"/>
      <c r="Y105" s="229"/>
      <c r="Z105" s="230"/>
      <c r="AA105" s="92"/>
    </row>
    <row r="106" spans="2:27" s="90" customFormat="1" ht="37.5" customHeight="1" thickBot="1">
      <c r="B106" s="42"/>
      <c r="C106" s="216"/>
      <c r="D106" s="217"/>
      <c r="E106" s="217"/>
      <c r="F106" s="219"/>
      <c r="G106" s="220"/>
      <c r="H106" s="220"/>
      <c r="I106" s="220"/>
      <c r="J106" s="220"/>
      <c r="K106" s="220"/>
      <c r="L106" s="220"/>
      <c r="M106" s="220"/>
      <c r="N106" s="220"/>
      <c r="O106" s="220"/>
      <c r="P106" s="220"/>
      <c r="Q106" s="220"/>
      <c r="R106" s="221"/>
      <c r="S106" s="91"/>
      <c r="T106" s="225"/>
      <c r="U106" s="226"/>
      <c r="V106" s="226"/>
      <c r="W106" s="226"/>
      <c r="X106" s="226"/>
      <c r="Y106" s="226"/>
      <c r="Z106" s="227"/>
      <c r="AA106" s="92"/>
    </row>
    <row r="107" spans="2:27" s="45" customFormat="1" ht="9.75" customHeight="1" thickBot="1">
      <c r="B107" s="93"/>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94"/>
    </row>
  </sheetData>
  <sheetProtection selectLockedCells="1"/>
  <mergeCells count="153">
    <mergeCell ref="C100:E101"/>
    <mergeCell ref="F100:R101"/>
    <mergeCell ref="T100:Z100"/>
    <mergeCell ref="T101:Z101"/>
    <mergeCell ref="C105:E106"/>
    <mergeCell ref="F105:R106"/>
    <mergeCell ref="T105:Z105"/>
    <mergeCell ref="T106:Z106"/>
    <mergeCell ref="L86:N86"/>
    <mergeCell ref="L91:N91"/>
    <mergeCell ref="X91:Z91"/>
    <mergeCell ref="C95:E96"/>
    <mergeCell ref="F95:R96"/>
    <mergeCell ref="T95:Z95"/>
    <mergeCell ref="T96:Z96"/>
    <mergeCell ref="C80:E88"/>
    <mergeCell ref="X82:Z82"/>
    <mergeCell ref="L83:N83"/>
    <mergeCell ref="X83:Z83"/>
    <mergeCell ref="L84:N84"/>
    <mergeCell ref="X84:Z84"/>
    <mergeCell ref="L85:N85"/>
    <mergeCell ref="X85:Z85"/>
    <mergeCell ref="Q78:Q85"/>
    <mergeCell ref="S78:S85"/>
    <mergeCell ref="U78:U85"/>
    <mergeCell ref="W78:W85"/>
    <mergeCell ref="X78:Z78"/>
    <mergeCell ref="L80:N80"/>
    <mergeCell ref="X80:Z80"/>
    <mergeCell ref="L81:N81"/>
    <mergeCell ref="X81:Z81"/>
    <mergeCell ref="C78:E78"/>
    <mergeCell ref="G78:G85"/>
    <mergeCell ref="I78:I85"/>
    <mergeCell ref="K78:K85"/>
    <mergeCell ref="L78:N78"/>
    <mergeCell ref="O78:O85"/>
    <mergeCell ref="L82:N82"/>
    <mergeCell ref="C68:E68"/>
    <mergeCell ref="C69:E74"/>
    <mergeCell ref="L69:N69"/>
    <mergeCell ref="X69:Z69"/>
    <mergeCell ref="L70:N70"/>
    <mergeCell ref="C67:E67"/>
    <mergeCell ref="G67:G72"/>
    <mergeCell ref="I67:I72"/>
    <mergeCell ref="K67:K72"/>
    <mergeCell ref="L67:N67"/>
    <mergeCell ref="O67:O72"/>
    <mergeCell ref="X70:Z70"/>
    <mergeCell ref="L71:N71"/>
    <mergeCell ref="X71:Z71"/>
    <mergeCell ref="L72:N72"/>
    <mergeCell ref="X72:Z72"/>
    <mergeCell ref="L73:N73"/>
    <mergeCell ref="Q67:Q72"/>
    <mergeCell ref="S67:S72"/>
    <mergeCell ref="U67:U72"/>
    <mergeCell ref="W67:W72"/>
    <mergeCell ref="X67:Z67"/>
    <mergeCell ref="C57:E57"/>
    <mergeCell ref="C58:E63"/>
    <mergeCell ref="L58:N58"/>
    <mergeCell ref="X58:Z58"/>
    <mergeCell ref="L59:N59"/>
    <mergeCell ref="C56:E56"/>
    <mergeCell ref="G56:G61"/>
    <mergeCell ref="I56:I61"/>
    <mergeCell ref="K56:K61"/>
    <mergeCell ref="L56:N56"/>
    <mergeCell ref="O56:O61"/>
    <mergeCell ref="X59:Z59"/>
    <mergeCell ref="L60:N60"/>
    <mergeCell ref="X60:Z60"/>
    <mergeCell ref="L61:N61"/>
    <mergeCell ref="X61:Z61"/>
    <mergeCell ref="L62:N62"/>
    <mergeCell ref="Q56:Q61"/>
    <mergeCell ref="S56:S61"/>
    <mergeCell ref="U56:U61"/>
    <mergeCell ref="W56:W61"/>
    <mergeCell ref="X56:Z56"/>
    <mergeCell ref="C46:E46"/>
    <mergeCell ref="C47:E52"/>
    <mergeCell ref="L47:N47"/>
    <mergeCell ref="X47:Z47"/>
    <mergeCell ref="L48:N48"/>
    <mergeCell ref="C45:E45"/>
    <mergeCell ref="G45:G50"/>
    <mergeCell ref="I45:I50"/>
    <mergeCell ref="K45:K50"/>
    <mergeCell ref="L45:N45"/>
    <mergeCell ref="O45:O50"/>
    <mergeCell ref="X48:Z48"/>
    <mergeCell ref="L49:N49"/>
    <mergeCell ref="X49:Z49"/>
    <mergeCell ref="L50:N50"/>
    <mergeCell ref="X50:Z50"/>
    <mergeCell ref="L51:N51"/>
    <mergeCell ref="Q45:Q50"/>
    <mergeCell ref="S45:S50"/>
    <mergeCell ref="U45:U50"/>
    <mergeCell ref="W45:W50"/>
    <mergeCell ref="X45:Z45"/>
    <mergeCell ref="C35:E35"/>
    <mergeCell ref="C36:E41"/>
    <mergeCell ref="L36:N36"/>
    <mergeCell ref="X36:Z36"/>
    <mergeCell ref="L37:N37"/>
    <mergeCell ref="C34:E34"/>
    <mergeCell ref="G34:G39"/>
    <mergeCell ref="I34:I39"/>
    <mergeCell ref="K34:K39"/>
    <mergeCell ref="L34:N34"/>
    <mergeCell ref="O34:O39"/>
    <mergeCell ref="X37:Z37"/>
    <mergeCell ref="L38:N38"/>
    <mergeCell ref="X38:Z38"/>
    <mergeCell ref="L39:N39"/>
    <mergeCell ref="X39:Z39"/>
    <mergeCell ref="L40:N40"/>
    <mergeCell ref="Q34:Q39"/>
    <mergeCell ref="S34:S39"/>
    <mergeCell ref="U34:U39"/>
    <mergeCell ref="W34:W39"/>
    <mergeCell ref="X34:Z34"/>
    <mergeCell ref="C22:E30"/>
    <mergeCell ref="L22:Z22"/>
    <mergeCell ref="L24:Z24"/>
    <mergeCell ref="L26:Z26"/>
    <mergeCell ref="L28:Z28"/>
    <mergeCell ref="L30:Z30"/>
    <mergeCell ref="C12:E12"/>
    <mergeCell ref="F12:Z12"/>
    <mergeCell ref="C16:E18"/>
    <mergeCell ref="F16:Z16"/>
    <mergeCell ref="F17:Z17"/>
    <mergeCell ref="F18:Z18"/>
    <mergeCell ref="H7:L7"/>
    <mergeCell ref="R7:V7"/>
    <mergeCell ref="X7:Z7"/>
    <mergeCell ref="H8:L8"/>
    <mergeCell ref="N8:P8"/>
    <mergeCell ref="R8:V8"/>
    <mergeCell ref="X8:Z8"/>
    <mergeCell ref="F2:Z2"/>
    <mergeCell ref="H4:L4"/>
    <mergeCell ref="N4:V4"/>
    <mergeCell ref="X4:Z4"/>
    <mergeCell ref="H5:L5"/>
    <mergeCell ref="N5:V5"/>
    <mergeCell ref="X5:Z5"/>
  </mergeCells>
  <conditionalFormatting sqref="X36">
    <cfRule type="cellIs" dxfId="167" priority="156" operator="equal">
      <formula>"Fully Proficient"</formula>
    </cfRule>
    <cfRule type="cellIs" dxfId="166" priority="157" operator="equal">
      <formula>"Needs Improvement"</formula>
    </cfRule>
    <cfRule type="cellIs" dxfId="165" priority="158" operator="equal">
      <formula>"Not Working Out"</formula>
    </cfRule>
    <cfRule type="cellIs" dxfId="164" priority="159" operator="equal">
      <formula>"Needs Improvement"</formula>
    </cfRule>
    <cfRule type="cellIs" dxfId="163" priority="160" operator="equal">
      <formula>"Fully Proficient"</formula>
    </cfRule>
    <cfRule type="cellIs" dxfId="162" priority="161" operator="equal">
      <formula>"Excellent"</formula>
    </cfRule>
    <cfRule type="cellIs" dxfId="161" priority="162" operator="equal">
      <formula>"Singularly Exceptional"</formula>
    </cfRule>
  </conditionalFormatting>
  <conditionalFormatting sqref="X37">
    <cfRule type="cellIs" dxfId="160" priority="135" operator="equal">
      <formula>"Fully Proficient"</formula>
    </cfRule>
    <cfRule type="cellIs" dxfId="159" priority="136" operator="equal">
      <formula>"Needs Improvement"</formula>
    </cfRule>
    <cfRule type="cellIs" dxfId="158" priority="137" operator="equal">
      <formula>"Not Working Out"</formula>
    </cfRule>
    <cfRule type="cellIs" dxfId="157" priority="138" operator="equal">
      <formula>"Needs Improvement"</formula>
    </cfRule>
    <cfRule type="cellIs" dxfId="156" priority="139" operator="equal">
      <formula>"Fully Proficient"</formula>
    </cfRule>
    <cfRule type="cellIs" dxfId="155" priority="140" operator="equal">
      <formula>"Excellent"</formula>
    </cfRule>
    <cfRule type="cellIs" dxfId="154" priority="141" operator="equal">
      <formula>"Singularly Exceptional"</formula>
    </cfRule>
  </conditionalFormatting>
  <conditionalFormatting sqref="X47">
    <cfRule type="cellIs" dxfId="153" priority="128" operator="equal">
      <formula>"Fully Proficient"</formula>
    </cfRule>
    <cfRule type="cellIs" dxfId="152" priority="129" operator="equal">
      <formula>"Needs Improvement"</formula>
    </cfRule>
    <cfRule type="cellIs" dxfId="151" priority="130" operator="equal">
      <formula>"Not Working Out"</formula>
    </cfRule>
    <cfRule type="cellIs" dxfId="150" priority="131" operator="equal">
      <formula>"Needs Improvement"</formula>
    </cfRule>
    <cfRule type="cellIs" dxfId="149" priority="132" operator="equal">
      <formula>"Fully Proficient"</formula>
    </cfRule>
    <cfRule type="cellIs" dxfId="148" priority="133" operator="equal">
      <formula>"Excellent"</formula>
    </cfRule>
    <cfRule type="cellIs" dxfId="147" priority="134" operator="equal">
      <formula>"Singularly Exceptional"</formula>
    </cfRule>
  </conditionalFormatting>
  <conditionalFormatting sqref="X50">
    <cfRule type="cellIs" dxfId="146" priority="121" operator="equal">
      <formula>"Fully Proficient"</formula>
    </cfRule>
    <cfRule type="cellIs" dxfId="145" priority="122" operator="equal">
      <formula>"Needs Improvement"</formula>
    </cfRule>
    <cfRule type="cellIs" dxfId="144" priority="123" operator="equal">
      <formula>"Not Working Out"</formula>
    </cfRule>
    <cfRule type="cellIs" dxfId="143" priority="124" operator="equal">
      <formula>"Needs Improvement"</formula>
    </cfRule>
    <cfRule type="cellIs" dxfId="142" priority="125" operator="equal">
      <formula>"Fully Proficient"</formula>
    </cfRule>
    <cfRule type="cellIs" dxfId="141" priority="126" operator="equal">
      <formula>"Excellent"</formula>
    </cfRule>
    <cfRule type="cellIs" dxfId="140" priority="127" operator="equal">
      <formula>"Singularly Exceptional"</formula>
    </cfRule>
  </conditionalFormatting>
  <conditionalFormatting sqref="X49">
    <cfRule type="cellIs" dxfId="139" priority="114" operator="equal">
      <formula>"Fully Proficient"</formula>
    </cfRule>
    <cfRule type="cellIs" dxfId="138" priority="115" operator="equal">
      <formula>"Needs Improvement"</formula>
    </cfRule>
    <cfRule type="cellIs" dxfId="137" priority="116" operator="equal">
      <formula>"Not Working Out"</formula>
    </cfRule>
    <cfRule type="cellIs" dxfId="136" priority="117" operator="equal">
      <formula>"Needs Improvement"</formula>
    </cfRule>
    <cfRule type="cellIs" dxfId="135" priority="118" operator="equal">
      <formula>"Fully Proficient"</formula>
    </cfRule>
    <cfRule type="cellIs" dxfId="134" priority="119" operator="equal">
      <formula>"Excellent"</formula>
    </cfRule>
    <cfRule type="cellIs" dxfId="133" priority="120" operator="equal">
      <formula>"Singularly Exceptional"</formula>
    </cfRule>
  </conditionalFormatting>
  <conditionalFormatting sqref="X48">
    <cfRule type="cellIs" dxfId="132" priority="107" operator="equal">
      <formula>"Fully Proficient"</formula>
    </cfRule>
    <cfRule type="cellIs" dxfId="131" priority="108" operator="equal">
      <formula>"Needs Improvement"</formula>
    </cfRule>
    <cfRule type="cellIs" dxfId="130" priority="109" operator="equal">
      <formula>"Not Working Out"</formula>
    </cfRule>
    <cfRule type="cellIs" dxfId="129" priority="110" operator="equal">
      <formula>"Needs Improvement"</formula>
    </cfRule>
    <cfRule type="cellIs" dxfId="128" priority="111" operator="equal">
      <formula>"Fully Proficient"</formula>
    </cfRule>
    <cfRule type="cellIs" dxfId="127" priority="112" operator="equal">
      <formula>"Excellent"</formula>
    </cfRule>
    <cfRule type="cellIs" dxfId="126" priority="113" operator="equal">
      <formula>"Singularly Exceptional"</formula>
    </cfRule>
  </conditionalFormatting>
  <conditionalFormatting sqref="X39">
    <cfRule type="cellIs" dxfId="125" priority="149" operator="equal">
      <formula>"Fully Proficient"</formula>
    </cfRule>
    <cfRule type="cellIs" dxfId="124" priority="150" operator="equal">
      <formula>"Needs Improvement"</formula>
    </cfRule>
    <cfRule type="cellIs" dxfId="123" priority="151" operator="equal">
      <formula>"Not Working Out"</formula>
    </cfRule>
    <cfRule type="cellIs" dxfId="122" priority="152" operator="equal">
      <formula>"Needs Improvement"</formula>
    </cfRule>
    <cfRule type="cellIs" dxfId="121" priority="153" operator="equal">
      <formula>"Fully Proficient"</formula>
    </cfRule>
    <cfRule type="cellIs" dxfId="120" priority="154" operator="equal">
      <formula>"Excellent"</formula>
    </cfRule>
    <cfRule type="cellIs" dxfId="119" priority="155" operator="equal">
      <formula>"Singularly Exceptional"</formula>
    </cfRule>
  </conditionalFormatting>
  <conditionalFormatting sqref="X38">
    <cfRule type="cellIs" dxfId="118" priority="142" operator="equal">
      <formula>"Fully Proficient"</formula>
    </cfRule>
    <cfRule type="cellIs" dxfId="117" priority="143" operator="equal">
      <formula>"Needs Improvement"</formula>
    </cfRule>
    <cfRule type="cellIs" dxfId="116" priority="144" operator="equal">
      <formula>"Not Working Out"</formula>
    </cfRule>
    <cfRule type="cellIs" dxfId="115" priority="145" operator="equal">
      <formula>"Needs Improvement"</formula>
    </cfRule>
    <cfRule type="cellIs" dxfId="114" priority="146" operator="equal">
      <formula>"Fully Proficient"</formula>
    </cfRule>
    <cfRule type="cellIs" dxfId="113" priority="147" operator="equal">
      <formula>"Excellent"</formula>
    </cfRule>
    <cfRule type="cellIs" dxfId="112" priority="148" operator="equal">
      <formula>"Singularly Exceptional"</formula>
    </cfRule>
  </conditionalFormatting>
  <conditionalFormatting sqref="X58">
    <cfRule type="cellIs" dxfId="111" priority="100" operator="equal">
      <formula>"Fully Proficient"</formula>
    </cfRule>
    <cfRule type="cellIs" dxfId="110" priority="101" operator="equal">
      <formula>"Needs Improvement"</formula>
    </cfRule>
    <cfRule type="cellIs" dxfId="109" priority="102" operator="equal">
      <formula>"Not Working Out"</formula>
    </cfRule>
    <cfRule type="cellIs" dxfId="108" priority="103" operator="equal">
      <formula>"Needs Improvement"</formula>
    </cfRule>
    <cfRule type="cellIs" dxfId="107" priority="104" operator="equal">
      <formula>"Fully Proficient"</formula>
    </cfRule>
    <cfRule type="cellIs" dxfId="106" priority="105" operator="equal">
      <formula>"Excellent"</formula>
    </cfRule>
    <cfRule type="cellIs" dxfId="105" priority="106" operator="equal">
      <formula>"Singularly Exceptional"</formula>
    </cfRule>
  </conditionalFormatting>
  <conditionalFormatting sqref="X59">
    <cfRule type="cellIs" dxfId="104" priority="79" operator="equal">
      <formula>"Fully Proficient"</formula>
    </cfRule>
    <cfRule type="cellIs" dxfId="103" priority="80" operator="equal">
      <formula>"Needs Improvement"</formula>
    </cfRule>
    <cfRule type="cellIs" dxfId="102" priority="81" operator="equal">
      <formula>"Not Working Out"</formula>
    </cfRule>
    <cfRule type="cellIs" dxfId="101" priority="82" operator="equal">
      <formula>"Needs Improvement"</formula>
    </cfRule>
    <cfRule type="cellIs" dxfId="100" priority="83" operator="equal">
      <formula>"Fully Proficient"</formula>
    </cfRule>
    <cfRule type="cellIs" dxfId="99" priority="84" operator="equal">
      <formula>"Excellent"</formula>
    </cfRule>
    <cfRule type="cellIs" dxfId="98" priority="85" operator="equal">
      <formula>"Singularly Exceptional"</formula>
    </cfRule>
  </conditionalFormatting>
  <conditionalFormatting sqref="X69">
    <cfRule type="cellIs" dxfId="97" priority="72" operator="equal">
      <formula>"Fully Proficient"</formula>
    </cfRule>
    <cfRule type="cellIs" dxfId="96" priority="73" operator="equal">
      <formula>"Needs Improvement"</formula>
    </cfRule>
    <cfRule type="cellIs" dxfId="95" priority="74" operator="equal">
      <formula>"Not Working Out"</formula>
    </cfRule>
    <cfRule type="cellIs" dxfId="94" priority="75" operator="equal">
      <formula>"Needs Improvement"</formula>
    </cfRule>
    <cfRule type="cellIs" dxfId="93" priority="76" operator="equal">
      <formula>"Fully Proficient"</formula>
    </cfRule>
    <cfRule type="cellIs" dxfId="92" priority="77" operator="equal">
      <formula>"Excellent"</formula>
    </cfRule>
    <cfRule type="cellIs" dxfId="91" priority="78" operator="equal">
      <formula>"Singularly Exceptional"</formula>
    </cfRule>
  </conditionalFormatting>
  <conditionalFormatting sqref="X70">
    <cfRule type="cellIs" dxfId="90" priority="51" operator="equal">
      <formula>"Fully Proficient"</formula>
    </cfRule>
    <cfRule type="cellIs" dxfId="89" priority="52" operator="equal">
      <formula>"Needs Improvement"</formula>
    </cfRule>
    <cfRule type="cellIs" dxfId="88" priority="53" operator="equal">
      <formula>"Not Working Out"</formula>
    </cfRule>
    <cfRule type="cellIs" dxfId="87" priority="54" operator="equal">
      <formula>"Needs Improvement"</formula>
    </cfRule>
    <cfRule type="cellIs" dxfId="86" priority="55" operator="equal">
      <formula>"Fully Proficient"</formula>
    </cfRule>
    <cfRule type="cellIs" dxfId="85" priority="56" operator="equal">
      <formula>"Excellent"</formula>
    </cfRule>
    <cfRule type="cellIs" dxfId="84" priority="57" operator="equal">
      <formula>"Singularly Exceptional"</formula>
    </cfRule>
  </conditionalFormatting>
  <conditionalFormatting sqref="X80">
    <cfRule type="cellIs" dxfId="83" priority="44" operator="equal">
      <formula>"Fully Proficient"</formula>
    </cfRule>
    <cfRule type="cellIs" dxfId="82" priority="45" operator="equal">
      <formula>"Needs Improvement"</formula>
    </cfRule>
    <cfRule type="cellIs" dxfId="81" priority="46" operator="equal">
      <formula>"Not Working Out"</formula>
    </cfRule>
    <cfRule type="cellIs" dxfId="80" priority="47" operator="equal">
      <formula>"Needs Improvement"</formula>
    </cfRule>
    <cfRule type="cellIs" dxfId="79" priority="48" operator="equal">
      <formula>"Fully Proficient"</formula>
    </cfRule>
    <cfRule type="cellIs" dxfId="78" priority="49" operator="equal">
      <formula>"Excellent"</formula>
    </cfRule>
    <cfRule type="cellIs" dxfId="77" priority="50" operator="equal">
      <formula>"Singularly Exceptional"</formula>
    </cfRule>
  </conditionalFormatting>
  <conditionalFormatting sqref="X81">
    <cfRule type="cellIs" dxfId="76" priority="23" operator="equal">
      <formula>"Fully Proficient"</formula>
    </cfRule>
    <cfRule type="cellIs" dxfId="75" priority="24" operator="equal">
      <formula>"Needs Improvement"</formula>
    </cfRule>
    <cfRule type="cellIs" dxfId="74" priority="25" operator="equal">
      <formula>"Not Working Out"</formula>
    </cfRule>
    <cfRule type="cellIs" dxfId="73" priority="26" operator="equal">
      <formula>"Needs Improvement"</formula>
    </cfRule>
    <cfRule type="cellIs" dxfId="72" priority="27" operator="equal">
      <formula>"Fully Proficient"</formula>
    </cfRule>
    <cfRule type="cellIs" dxfId="71" priority="28" operator="equal">
      <formula>"Excellent"</formula>
    </cfRule>
    <cfRule type="cellIs" dxfId="70" priority="29" operator="equal">
      <formula>"Singularly Exceptional"</formula>
    </cfRule>
  </conditionalFormatting>
  <conditionalFormatting sqref="X72">
    <cfRule type="cellIs" dxfId="69" priority="65" operator="equal">
      <formula>"Fully Proficient"</formula>
    </cfRule>
    <cfRule type="cellIs" dxfId="68" priority="66" operator="equal">
      <formula>"Needs Improvement"</formula>
    </cfRule>
    <cfRule type="cellIs" dxfId="67" priority="67" operator="equal">
      <formula>"Not Working Out"</formula>
    </cfRule>
    <cfRule type="cellIs" dxfId="66" priority="68" operator="equal">
      <formula>"Needs Improvement"</formula>
    </cfRule>
    <cfRule type="cellIs" dxfId="65" priority="69" operator="equal">
      <formula>"Fully Proficient"</formula>
    </cfRule>
    <cfRule type="cellIs" dxfId="64" priority="70" operator="equal">
      <formula>"Excellent"</formula>
    </cfRule>
    <cfRule type="cellIs" dxfId="63" priority="71" operator="equal">
      <formula>"Singularly Exceptional"</formula>
    </cfRule>
  </conditionalFormatting>
  <conditionalFormatting sqref="X71">
    <cfRule type="cellIs" dxfId="62" priority="58" operator="equal">
      <formula>"Fully Proficient"</formula>
    </cfRule>
    <cfRule type="cellIs" dxfId="61" priority="59" operator="equal">
      <formula>"Needs Improvement"</formula>
    </cfRule>
    <cfRule type="cellIs" dxfId="60" priority="60" operator="equal">
      <formula>"Not Working Out"</formula>
    </cfRule>
    <cfRule type="cellIs" dxfId="59" priority="61" operator="equal">
      <formula>"Needs Improvement"</formula>
    </cfRule>
    <cfRule type="cellIs" dxfId="58" priority="62" operator="equal">
      <formula>"Fully Proficient"</formula>
    </cfRule>
    <cfRule type="cellIs" dxfId="57" priority="63" operator="equal">
      <formula>"Excellent"</formula>
    </cfRule>
    <cfRule type="cellIs" dxfId="56" priority="64" operator="equal">
      <formula>"Singularly Exceptional"</formula>
    </cfRule>
  </conditionalFormatting>
  <conditionalFormatting sqref="X83">
    <cfRule type="cellIs" dxfId="55" priority="37" operator="equal">
      <formula>"Fully Proficient"</formula>
    </cfRule>
    <cfRule type="cellIs" dxfId="54" priority="38" operator="equal">
      <formula>"Needs Improvement"</formula>
    </cfRule>
    <cfRule type="cellIs" dxfId="53" priority="39" operator="equal">
      <formula>"Not Working Out"</formula>
    </cfRule>
    <cfRule type="cellIs" dxfId="52" priority="40" operator="equal">
      <formula>"Needs Improvement"</formula>
    </cfRule>
    <cfRule type="cellIs" dxfId="51" priority="41" operator="equal">
      <formula>"Fully Proficient"</formula>
    </cfRule>
    <cfRule type="cellIs" dxfId="50" priority="42" operator="equal">
      <formula>"Excellent"</formula>
    </cfRule>
    <cfRule type="cellIs" dxfId="49" priority="43" operator="equal">
      <formula>"Singularly Exceptional"</formula>
    </cfRule>
  </conditionalFormatting>
  <conditionalFormatting sqref="X61">
    <cfRule type="cellIs" dxfId="48" priority="93" operator="equal">
      <formula>"Fully Proficient"</formula>
    </cfRule>
    <cfRule type="cellIs" dxfId="47" priority="94" operator="equal">
      <formula>"Needs Improvement"</formula>
    </cfRule>
    <cfRule type="cellIs" dxfId="46" priority="95" operator="equal">
      <formula>"Not Working Out"</formula>
    </cfRule>
    <cfRule type="cellIs" dxfId="45" priority="96" operator="equal">
      <formula>"Needs Improvement"</formula>
    </cfRule>
    <cfRule type="cellIs" dxfId="44" priority="97" operator="equal">
      <formula>"Fully Proficient"</formula>
    </cfRule>
    <cfRule type="cellIs" dxfId="43" priority="98" operator="equal">
      <formula>"Excellent"</formula>
    </cfRule>
    <cfRule type="cellIs" dxfId="42" priority="99" operator="equal">
      <formula>"Singularly Exceptional"</formula>
    </cfRule>
  </conditionalFormatting>
  <conditionalFormatting sqref="X60">
    <cfRule type="cellIs" dxfId="41" priority="86" operator="equal">
      <formula>"Fully Proficient"</formula>
    </cfRule>
    <cfRule type="cellIs" dxfId="40" priority="87" operator="equal">
      <formula>"Needs Improvement"</formula>
    </cfRule>
    <cfRule type="cellIs" dxfId="39" priority="88" operator="equal">
      <formula>"Not Working Out"</formula>
    </cfRule>
    <cfRule type="cellIs" dxfId="38" priority="89" operator="equal">
      <formula>"Needs Improvement"</formula>
    </cfRule>
    <cfRule type="cellIs" dxfId="37" priority="90" operator="equal">
      <formula>"Fully Proficient"</formula>
    </cfRule>
    <cfRule type="cellIs" dxfId="36" priority="91" operator="equal">
      <formula>"Excellent"</formula>
    </cfRule>
    <cfRule type="cellIs" dxfId="35" priority="92" operator="equal">
      <formula>"Singularly Exceptional"</formula>
    </cfRule>
  </conditionalFormatting>
  <conditionalFormatting sqref="X85">
    <cfRule type="cellIs" dxfId="34" priority="16" operator="equal">
      <formula>"Fully Proficient"</formula>
    </cfRule>
    <cfRule type="cellIs" dxfId="33" priority="17" operator="equal">
      <formula>"Needs Improvement"</formula>
    </cfRule>
    <cfRule type="cellIs" dxfId="32" priority="18" operator="equal">
      <formula>"Not Working Out"</formula>
    </cfRule>
    <cfRule type="cellIs" dxfId="31" priority="19" operator="equal">
      <formula>"Needs Improvement"</formula>
    </cfRule>
    <cfRule type="cellIs" dxfId="30" priority="20" operator="equal">
      <formula>"Fully Proficient"</formula>
    </cfRule>
    <cfRule type="cellIs" dxfId="29" priority="21" operator="equal">
      <formula>"Excellent"</formula>
    </cfRule>
    <cfRule type="cellIs" dxfId="28" priority="22" operator="equal">
      <formula>"Singularly Exceptional"</formula>
    </cfRule>
  </conditionalFormatting>
  <conditionalFormatting sqref="X82">
    <cfRule type="cellIs" dxfId="27" priority="30" operator="equal">
      <formula>"Fully Proficient"</formula>
    </cfRule>
    <cfRule type="cellIs" dxfId="26" priority="31" operator="equal">
      <formula>"Needs Improvement"</formula>
    </cfRule>
    <cfRule type="cellIs" dxfId="25" priority="32" operator="equal">
      <formula>"Not Working Out"</formula>
    </cfRule>
    <cfRule type="cellIs" dxfId="24" priority="33" operator="equal">
      <formula>"Needs Improvement"</formula>
    </cfRule>
    <cfRule type="cellIs" dxfId="23" priority="34" operator="equal">
      <formula>"Fully Proficient"</formula>
    </cfRule>
    <cfRule type="cellIs" dxfId="22" priority="35" operator="equal">
      <formula>"Excellent"</formula>
    </cfRule>
    <cfRule type="cellIs" dxfId="21" priority="36" operator="equal">
      <formula>"Singularly Exceptional"</formula>
    </cfRule>
  </conditionalFormatting>
  <conditionalFormatting sqref="X84">
    <cfRule type="cellIs" dxfId="20" priority="9" operator="equal">
      <formula>"Fully Proficient"</formula>
    </cfRule>
    <cfRule type="cellIs" dxfId="19" priority="10" operator="equal">
      <formula>"Needs Improvement"</formula>
    </cfRule>
    <cfRule type="cellIs" dxfId="18" priority="11" operator="equal">
      <formula>"Not Working Out"</formula>
    </cfRule>
    <cfRule type="cellIs" dxfId="17" priority="12" operator="equal">
      <formula>"Needs Improvement"</formula>
    </cfRule>
    <cfRule type="cellIs" dxfId="16" priority="13" operator="equal">
      <formula>"Fully Proficient"</formula>
    </cfRule>
    <cfRule type="cellIs" dxfId="15" priority="14" operator="equal">
      <formula>"Excellent"</formula>
    </cfRule>
    <cfRule type="cellIs" dxfId="14" priority="15" operator="equal">
      <formula>"Singularly Exceptional"</formula>
    </cfRule>
  </conditionalFormatting>
  <conditionalFormatting sqref="X91:Z91">
    <cfRule type="cellIs" dxfId="13" priority="2" operator="equal">
      <formula>"Fully Proficient"</formula>
    </cfRule>
    <cfRule type="cellIs" dxfId="12" priority="3" operator="equal">
      <formula>"Needs Improvement"</formula>
    </cfRule>
    <cfRule type="cellIs" dxfId="11" priority="4" operator="equal">
      <formula>"Not Working Out"</formula>
    </cfRule>
    <cfRule type="cellIs" dxfId="10" priority="5" operator="equal">
      <formula>"Needs Improvement"</formula>
    </cfRule>
    <cfRule type="cellIs" dxfId="9" priority="6" operator="equal">
      <formula>"Fully Proficient"</formula>
    </cfRule>
    <cfRule type="cellIs" dxfId="8" priority="7" operator="equal">
      <formula>"Excellent"</formula>
    </cfRule>
    <cfRule type="cellIs" dxfId="7" priority="8" operator="equal">
      <formula>"Singularly Exceptional"</formula>
    </cfRule>
  </conditionalFormatting>
  <conditionalFormatting sqref="F5">
    <cfRule type="duplicateValues" dxfId="6" priority="1"/>
  </conditionalFormatting>
  <pageMargins left="0.59055118110236227" right="0.19685039370078741" top="0.35433070866141736" bottom="0.35433070866141736" header="0.15748031496062992" footer="0.19685039370078741"/>
  <pageSetup scale="37" orientation="portrait" r:id="rId1"/>
  <ignoredErrors>
    <ignoredError sqref="N8"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7"/>
  <sheetViews>
    <sheetView workbookViewId="0">
      <selection activeCell="A4" sqref="A4"/>
    </sheetView>
  </sheetViews>
  <sheetFormatPr defaultRowHeight="15"/>
  <cols>
    <col min="1" max="1" width="20.85546875" style="1" bestFit="1" customWidth="1"/>
    <col min="2" max="2" width="37.140625" style="2" bestFit="1" customWidth="1"/>
    <col min="3" max="3" width="34.85546875" style="2" bestFit="1" customWidth="1"/>
    <col min="4" max="4" width="12.42578125" style="2" customWidth="1"/>
    <col min="5" max="5" width="20.42578125" style="2" bestFit="1" customWidth="1"/>
    <col min="6" max="6" width="16.5703125" style="2" customWidth="1"/>
    <col min="7" max="7" width="9.140625" customWidth="1"/>
    <col min="8" max="8" width="10.140625" bestFit="1" customWidth="1"/>
  </cols>
  <sheetData>
    <row r="1" spans="1:8">
      <c r="A1" s="248" t="s">
        <v>40</v>
      </c>
      <c r="B1" s="249" t="s">
        <v>41</v>
      </c>
      <c r="C1" s="249" t="s">
        <v>93</v>
      </c>
      <c r="D1" s="249" t="s">
        <v>42</v>
      </c>
      <c r="E1" s="249" t="s">
        <v>43</v>
      </c>
      <c r="F1" s="249" t="s">
        <v>44</v>
      </c>
      <c r="G1" s="249" t="s">
        <v>74</v>
      </c>
      <c r="H1" s="249" t="s">
        <v>75</v>
      </c>
    </row>
    <row r="2" spans="1:8">
      <c r="A2" s="248" t="s">
        <v>47</v>
      </c>
      <c r="B2" s="249" t="s">
        <v>5</v>
      </c>
      <c r="C2" s="249" t="s">
        <v>6</v>
      </c>
      <c r="D2" s="249" t="s">
        <v>7</v>
      </c>
      <c r="E2" s="250" t="s">
        <v>35</v>
      </c>
      <c r="F2" s="249" t="s">
        <v>4</v>
      </c>
      <c r="G2" s="249" t="s">
        <v>74</v>
      </c>
      <c r="H2" s="249" t="s">
        <v>75</v>
      </c>
    </row>
    <row r="3" spans="1:8" ht="15.75">
      <c r="A3" s="251">
        <v>260301</v>
      </c>
      <c r="B3" s="239" t="s">
        <v>94</v>
      </c>
      <c r="C3" s="239" t="s">
        <v>146</v>
      </c>
      <c r="D3" s="125" t="s">
        <v>78</v>
      </c>
      <c r="E3" s="245">
        <v>44378</v>
      </c>
      <c r="F3" s="124" t="s">
        <v>79</v>
      </c>
      <c r="G3" s="123" t="s">
        <v>87</v>
      </c>
      <c r="H3" s="127" t="s">
        <v>89</v>
      </c>
    </row>
    <row r="4" spans="1:8" ht="15.75">
      <c r="A4" s="127">
        <v>260302</v>
      </c>
      <c r="B4" s="239" t="s">
        <v>95</v>
      </c>
      <c r="C4" s="239" t="s">
        <v>147</v>
      </c>
      <c r="D4" s="125" t="s">
        <v>78</v>
      </c>
      <c r="E4" s="245">
        <v>42036</v>
      </c>
      <c r="F4" s="124" t="s">
        <v>79</v>
      </c>
      <c r="G4" s="123" t="s">
        <v>87</v>
      </c>
      <c r="H4" s="127" t="s">
        <v>194</v>
      </c>
    </row>
    <row r="5" spans="1:8" ht="15.75">
      <c r="A5" s="127">
        <v>260303</v>
      </c>
      <c r="B5" s="239" t="s">
        <v>96</v>
      </c>
      <c r="C5" s="239" t="s">
        <v>148</v>
      </c>
      <c r="D5" s="125" t="s">
        <v>78</v>
      </c>
      <c r="E5" s="245">
        <v>44986</v>
      </c>
      <c r="F5" s="124" t="s">
        <v>79</v>
      </c>
      <c r="G5" s="123" t="s">
        <v>87</v>
      </c>
      <c r="H5" s="127" t="s">
        <v>90</v>
      </c>
    </row>
    <row r="6" spans="1:8" ht="15.75">
      <c r="A6" s="127">
        <v>260304</v>
      </c>
      <c r="B6" s="239" t="s">
        <v>97</v>
      </c>
      <c r="C6" s="239" t="s">
        <v>149</v>
      </c>
      <c r="D6" s="125" t="s">
        <v>78</v>
      </c>
      <c r="E6" s="245">
        <v>43841</v>
      </c>
      <c r="F6" s="124" t="s">
        <v>79</v>
      </c>
      <c r="G6" s="123" t="s">
        <v>87</v>
      </c>
      <c r="H6" s="127" t="s">
        <v>92</v>
      </c>
    </row>
    <row r="7" spans="1:8" ht="15.75">
      <c r="A7" s="127">
        <v>260305</v>
      </c>
      <c r="B7" s="239" t="s">
        <v>76</v>
      </c>
      <c r="C7" s="239" t="s">
        <v>150</v>
      </c>
      <c r="D7" s="125" t="s">
        <v>78</v>
      </c>
      <c r="E7" s="245">
        <v>44958</v>
      </c>
      <c r="F7" s="124" t="s">
        <v>80</v>
      </c>
      <c r="G7" s="123" t="s">
        <v>87</v>
      </c>
      <c r="H7" s="127" t="s">
        <v>89</v>
      </c>
    </row>
    <row r="8" spans="1:8" ht="15.75">
      <c r="A8" s="127">
        <v>260306</v>
      </c>
      <c r="B8" s="239" t="s">
        <v>98</v>
      </c>
      <c r="C8" s="239" t="s">
        <v>151</v>
      </c>
      <c r="D8" s="125" t="s">
        <v>78</v>
      </c>
      <c r="E8" s="245">
        <v>45257</v>
      </c>
      <c r="F8" s="124" t="s">
        <v>79</v>
      </c>
      <c r="G8" s="123" t="s">
        <v>87</v>
      </c>
      <c r="H8" s="127" t="s">
        <v>89</v>
      </c>
    </row>
    <row r="9" spans="1:8" ht="15.75">
      <c r="A9" s="127">
        <v>260307</v>
      </c>
      <c r="B9" s="239" t="s">
        <v>99</v>
      </c>
      <c r="C9" s="239" t="s">
        <v>153</v>
      </c>
      <c r="D9" s="125" t="s">
        <v>78</v>
      </c>
      <c r="E9" s="245">
        <v>44621</v>
      </c>
      <c r="F9" s="126" t="s">
        <v>79</v>
      </c>
      <c r="G9" s="123" t="s">
        <v>87</v>
      </c>
      <c r="H9" s="127" t="s">
        <v>91</v>
      </c>
    </row>
    <row r="10" spans="1:8" ht="15.75">
      <c r="A10" s="127">
        <v>260308</v>
      </c>
      <c r="B10" s="239" t="s">
        <v>100</v>
      </c>
      <c r="C10" s="239" t="s">
        <v>154</v>
      </c>
      <c r="D10" s="125" t="s">
        <v>78</v>
      </c>
      <c r="E10" s="245">
        <v>45352</v>
      </c>
      <c r="F10" s="126" t="s">
        <v>79</v>
      </c>
      <c r="G10" s="123" t="s">
        <v>87</v>
      </c>
      <c r="H10" s="127" t="s">
        <v>89</v>
      </c>
    </row>
    <row r="11" spans="1:8" ht="15.75">
      <c r="A11" s="127">
        <v>260309</v>
      </c>
      <c r="B11" s="239" t="s">
        <v>101</v>
      </c>
      <c r="C11" s="239" t="s">
        <v>155</v>
      </c>
      <c r="D11" s="125" t="s">
        <v>78</v>
      </c>
      <c r="E11" s="245">
        <v>45414</v>
      </c>
      <c r="F11" s="126" t="s">
        <v>198</v>
      </c>
      <c r="G11" s="123" t="s">
        <v>87</v>
      </c>
      <c r="H11" s="127" t="s">
        <v>89</v>
      </c>
    </row>
    <row r="12" spans="1:8" ht="15.75">
      <c r="A12" s="127">
        <v>260310</v>
      </c>
      <c r="B12" s="239" t="s">
        <v>102</v>
      </c>
      <c r="C12" s="239" t="s">
        <v>156</v>
      </c>
      <c r="D12" s="125" t="s">
        <v>78</v>
      </c>
      <c r="E12" s="245">
        <v>45329</v>
      </c>
      <c r="F12" s="126" t="s">
        <v>79</v>
      </c>
      <c r="G12" s="123" t="s">
        <v>87</v>
      </c>
      <c r="H12" s="127" t="s">
        <v>90</v>
      </c>
    </row>
    <row r="13" spans="1:8" ht="15.75">
      <c r="A13" s="127">
        <v>260311</v>
      </c>
      <c r="B13" s="239" t="s">
        <v>103</v>
      </c>
      <c r="C13" s="239" t="s">
        <v>84</v>
      </c>
      <c r="D13" s="125" t="s">
        <v>78</v>
      </c>
      <c r="E13" s="245">
        <v>45350</v>
      </c>
      <c r="F13" s="126" t="s">
        <v>79</v>
      </c>
      <c r="G13" s="123" t="s">
        <v>87</v>
      </c>
      <c r="H13" s="127" t="s">
        <v>195</v>
      </c>
    </row>
    <row r="14" spans="1:8" ht="15.75">
      <c r="A14" s="127">
        <v>260312</v>
      </c>
      <c r="B14" s="239" t="s">
        <v>104</v>
      </c>
      <c r="C14" s="239" t="s">
        <v>157</v>
      </c>
      <c r="D14" s="125" t="s">
        <v>78</v>
      </c>
      <c r="E14" s="245">
        <v>45488</v>
      </c>
      <c r="F14" s="126" t="s">
        <v>79</v>
      </c>
      <c r="G14" s="123" t="s">
        <v>87</v>
      </c>
      <c r="H14" s="127" t="s">
        <v>89</v>
      </c>
    </row>
    <row r="15" spans="1:8" ht="15.75">
      <c r="A15" s="127">
        <v>260313</v>
      </c>
      <c r="B15" s="239" t="s">
        <v>105</v>
      </c>
      <c r="C15" s="239" t="s">
        <v>158</v>
      </c>
      <c r="D15" s="125" t="s">
        <v>78</v>
      </c>
      <c r="E15" s="245">
        <v>45512</v>
      </c>
      <c r="F15" s="128" t="s">
        <v>45</v>
      </c>
      <c r="G15" s="123" t="s">
        <v>87</v>
      </c>
      <c r="H15" s="127" t="s">
        <v>89</v>
      </c>
    </row>
    <row r="16" spans="1:8" ht="15.75">
      <c r="A16" s="127">
        <v>260314</v>
      </c>
      <c r="B16" s="239" t="s">
        <v>106</v>
      </c>
      <c r="C16" s="239" t="s">
        <v>152</v>
      </c>
      <c r="D16" s="125" t="s">
        <v>78</v>
      </c>
      <c r="E16" s="245">
        <v>45597</v>
      </c>
      <c r="F16" s="128" t="s">
        <v>45</v>
      </c>
      <c r="G16" s="123" t="s">
        <v>87</v>
      </c>
      <c r="H16" s="127" t="s">
        <v>89</v>
      </c>
    </row>
    <row r="17" spans="1:8" ht="15.75">
      <c r="A17" s="127">
        <v>260315</v>
      </c>
      <c r="B17" s="239" t="s">
        <v>107</v>
      </c>
      <c r="C17" s="239" t="s">
        <v>159</v>
      </c>
      <c r="D17" s="125" t="s">
        <v>78</v>
      </c>
      <c r="E17" s="245">
        <v>45597</v>
      </c>
      <c r="F17" s="128" t="s">
        <v>80</v>
      </c>
      <c r="G17" s="123" t="s">
        <v>87</v>
      </c>
      <c r="H17" s="127" t="s">
        <v>89</v>
      </c>
    </row>
    <row r="18" spans="1:8" ht="15.75">
      <c r="A18" s="127">
        <v>260316</v>
      </c>
      <c r="B18" s="239" t="s">
        <v>108</v>
      </c>
      <c r="C18" s="239" t="s">
        <v>160</v>
      </c>
      <c r="D18" s="125" t="s">
        <v>78</v>
      </c>
      <c r="E18" s="245">
        <v>45663</v>
      </c>
      <c r="F18" s="128" t="s">
        <v>79</v>
      </c>
      <c r="G18" s="123" t="s">
        <v>87</v>
      </c>
      <c r="H18" s="127" t="s">
        <v>89</v>
      </c>
    </row>
    <row r="19" spans="1:8" ht="15.75">
      <c r="A19" s="127">
        <v>260317</v>
      </c>
      <c r="B19" s="239" t="s">
        <v>109</v>
      </c>
      <c r="C19" s="239" t="s">
        <v>161</v>
      </c>
      <c r="D19" s="125" t="s">
        <v>78</v>
      </c>
      <c r="E19" s="245">
        <v>45665</v>
      </c>
      <c r="F19" s="128" t="s">
        <v>197</v>
      </c>
      <c r="G19" s="123" t="s">
        <v>87</v>
      </c>
      <c r="H19" s="127" t="s">
        <v>89</v>
      </c>
    </row>
    <row r="20" spans="1:8" ht="15.75">
      <c r="A20" s="127">
        <v>260318</v>
      </c>
      <c r="B20" s="239" t="s">
        <v>110</v>
      </c>
      <c r="C20" s="239" t="s">
        <v>162</v>
      </c>
      <c r="D20" s="125" t="s">
        <v>78</v>
      </c>
      <c r="E20" s="245">
        <v>45702</v>
      </c>
      <c r="F20" s="128" t="s">
        <v>79</v>
      </c>
      <c r="G20" s="123" t="s">
        <v>87</v>
      </c>
      <c r="H20" s="127" t="s">
        <v>89</v>
      </c>
    </row>
    <row r="21" spans="1:8" ht="15.75">
      <c r="A21" s="127">
        <v>260319</v>
      </c>
      <c r="B21" s="239" t="s">
        <v>111</v>
      </c>
      <c r="C21" s="239" t="s">
        <v>163</v>
      </c>
      <c r="D21" s="125" t="s">
        <v>78</v>
      </c>
      <c r="E21" s="245" t="s">
        <v>188</v>
      </c>
      <c r="F21" s="128" t="s">
        <v>79</v>
      </c>
      <c r="G21" s="123" t="s">
        <v>87</v>
      </c>
      <c r="H21" s="127" t="s">
        <v>196</v>
      </c>
    </row>
    <row r="22" spans="1:8" ht="15.75">
      <c r="A22" s="127">
        <v>260320</v>
      </c>
      <c r="B22" s="239" t="s">
        <v>112</v>
      </c>
      <c r="C22" s="239" t="s">
        <v>164</v>
      </c>
      <c r="D22" s="125" t="s">
        <v>78</v>
      </c>
      <c r="E22" s="245" t="s">
        <v>189</v>
      </c>
      <c r="F22" s="128" t="s">
        <v>79</v>
      </c>
      <c r="G22" s="123" t="s">
        <v>87</v>
      </c>
      <c r="H22" s="127" t="s">
        <v>89</v>
      </c>
    </row>
    <row r="23" spans="1:8" ht="15.75">
      <c r="A23" s="127">
        <v>260321</v>
      </c>
      <c r="B23" s="239" t="s">
        <v>113</v>
      </c>
      <c r="C23" s="239" t="s">
        <v>165</v>
      </c>
      <c r="D23" s="125" t="s">
        <v>78</v>
      </c>
      <c r="E23" s="245">
        <v>45778</v>
      </c>
      <c r="F23" s="128" t="s">
        <v>79</v>
      </c>
      <c r="G23" s="123" t="s">
        <v>87</v>
      </c>
      <c r="H23" s="127" t="s">
        <v>89</v>
      </c>
    </row>
    <row r="24" spans="1:8" ht="15.75">
      <c r="A24" s="127">
        <v>260322</v>
      </c>
      <c r="B24" s="239" t="s">
        <v>114</v>
      </c>
      <c r="C24" s="239" t="s">
        <v>166</v>
      </c>
      <c r="D24" s="125" t="s">
        <v>78</v>
      </c>
      <c r="E24" s="245">
        <v>45792</v>
      </c>
      <c r="F24" s="128" t="s">
        <v>79</v>
      </c>
      <c r="G24" s="123" t="s">
        <v>87</v>
      </c>
      <c r="H24" s="127" t="s">
        <v>89</v>
      </c>
    </row>
    <row r="25" spans="1:8" ht="15.75">
      <c r="A25" s="127">
        <v>260323</v>
      </c>
      <c r="B25" s="239" t="s">
        <v>115</v>
      </c>
      <c r="C25" s="239" t="s">
        <v>167</v>
      </c>
      <c r="D25" s="125" t="s">
        <v>78</v>
      </c>
      <c r="E25" s="245">
        <v>45870</v>
      </c>
      <c r="F25" s="128" t="s">
        <v>80</v>
      </c>
      <c r="G25" s="123" t="s">
        <v>87</v>
      </c>
      <c r="H25" s="127" t="s">
        <v>89</v>
      </c>
    </row>
    <row r="26" spans="1:8" ht="15.75">
      <c r="A26" s="127">
        <v>260324</v>
      </c>
      <c r="B26" s="239" t="s">
        <v>116</v>
      </c>
      <c r="C26" s="239" t="s">
        <v>168</v>
      </c>
      <c r="D26" s="125" t="s">
        <v>78</v>
      </c>
      <c r="E26" s="245">
        <v>45870</v>
      </c>
      <c r="F26" s="128" t="s">
        <v>81</v>
      </c>
      <c r="G26" s="123" t="s">
        <v>87</v>
      </c>
      <c r="H26" s="127" t="s">
        <v>89</v>
      </c>
    </row>
    <row r="27" spans="1:8" ht="15.75">
      <c r="A27" s="127">
        <v>260325</v>
      </c>
      <c r="B27" s="239" t="s">
        <v>117</v>
      </c>
      <c r="C27" s="239" t="s">
        <v>169</v>
      </c>
      <c r="D27" s="125" t="s">
        <v>78</v>
      </c>
      <c r="E27" s="245">
        <v>45870</v>
      </c>
      <c r="F27" s="128" t="s">
        <v>80</v>
      </c>
      <c r="G27" s="123" t="s">
        <v>87</v>
      </c>
      <c r="H27" s="127" t="s">
        <v>89</v>
      </c>
    </row>
    <row r="28" spans="1:8" ht="15.75">
      <c r="A28" s="127">
        <v>260326</v>
      </c>
      <c r="B28" s="239" t="s">
        <v>118</v>
      </c>
      <c r="C28" s="239" t="s">
        <v>170</v>
      </c>
      <c r="D28" s="125" t="s">
        <v>78</v>
      </c>
      <c r="E28" s="245">
        <v>45880</v>
      </c>
      <c r="F28" s="128" t="s">
        <v>81</v>
      </c>
      <c r="G28" s="123" t="s">
        <v>87</v>
      </c>
      <c r="H28" s="127" t="s">
        <v>89</v>
      </c>
    </row>
    <row r="29" spans="1:8" ht="15.75">
      <c r="A29" s="127">
        <v>260327</v>
      </c>
      <c r="B29" s="239" t="s">
        <v>119</v>
      </c>
      <c r="C29" s="239" t="s">
        <v>171</v>
      </c>
      <c r="D29" s="125" t="s">
        <v>78</v>
      </c>
      <c r="E29" s="245">
        <v>45884</v>
      </c>
      <c r="F29" s="128" t="s">
        <v>198</v>
      </c>
      <c r="G29" s="123" t="s">
        <v>87</v>
      </c>
      <c r="H29" s="127" t="s">
        <v>89</v>
      </c>
    </row>
    <row r="30" spans="1:8" ht="15.75">
      <c r="A30" s="127">
        <v>260328</v>
      </c>
      <c r="B30" s="239" t="s">
        <v>120</v>
      </c>
      <c r="C30" s="239" t="s">
        <v>171</v>
      </c>
      <c r="D30" s="125" t="s">
        <v>78</v>
      </c>
      <c r="E30" s="245">
        <v>45884</v>
      </c>
      <c r="F30" s="128" t="s">
        <v>198</v>
      </c>
      <c r="G30" s="123" t="s">
        <v>87</v>
      </c>
      <c r="H30" s="127" t="s">
        <v>89</v>
      </c>
    </row>
    <row r="31" spans="1:8" ht="15.75">
      <c r="A31" s="127">
        <v>260329</v>
      </c>
      <c r="B31" s="239" t="s">
        <v>121</v>
      </c>
      <c r="C31" s="239" t="s">
        <v>172</v>
      </c>
      <c r="D31" s="125" t="s">
        <v>78</v>
      </c>
      <c r="E31" s="245">
        <v>45901</v>
      </c>
      <c r="F31" s="128" t="s">
        <v>45</v>
      </c>
      <c r="G31" s="123" t="s">
        <v>87</v>
      </c>
      <c r="H31" s="127" t="s">
        <v>89</v>
      </c>
    </row>
    <row r="32" spans="1:8" ht="15.75">
      <c r="A32" s="127">
        <v>260330</v>
      </c>
      <c r="B32" s="239" t="s">
        <v>122</v>
      </c>
      <c r="C32" s="239" t="s">
        <v>173</v>
      </c>
      <c r="D32" s="125" t="s">
        <v>78</v>
      </c>
      <c r="E32" s="245">
        <v>45916</v>
      </c>
      <c r="F32" s="128" t="s">
        <v>197</v>
      </c>
      <c r="G32" s="123" t="s">
        <v>87</v>
      </c>
      <c r="H32" s="127" t="s">
        <v>89</v>
      </c>
    </row>
    <row r="33" spans="1:8" ht="15.75">
      <c r="A33" s="127">
        <v>260331</v>
      </c>
      <c r="B33" s="239" t="s">
        <v>123</v>
      </c>
      <c r="C33" s="239" t="s">
        <v>171</v>
      </c>
      <c r="D33" s="125" t="s">
        <v>78</v>
      </c>
      <c r="E33" s="245">
        <v>45916</v>
      </c>
      <c r="F33" s="128" t="s">
        <v>198</v>
      </c>
      <c r="G33" s="123" t="s">
        <v>87</v>
      </c>
      <c r="H33" s="127" t="s">
        <v>89</v>
      </c>
    </row>
    <row r="34" spans="1:8" ht="15.75">
      <c r="A34" s="127">
        <v>260332</v>
      </c>
      <c r="B34" s="239" t="s">
        <v>124</v>
      </c>
      <c r="C34" s="239" t="s">
        <v>174</v>
      </c>
      <c r="D34" s="125" t="s">
        <v>78</v>
      </c>
      <c r="E34" s="245">
        <v>45929</v>
      </c>
      <c r="F34" s="128" t="s">
        <v>79</v>
      </c>
      <c r="G34" s="123" t="s">
        <v>87</v>
      </c>
      <c r="H34" s="127" t="s">
        <v>89</v>
      </c>
    </row>
    <row r="35" spans="1:8" ht="15.75">
      <c r="A35" s="127">
        <v>260333</v>
      </c>
      <c r="B35" s="239" t="s">
        <v>125</v>
      </c>
      <c r="C35" s="239" t="s">
        <v>175</v>
      </c>
      <c r="D35" s="125" t="s">
        <v>78</v>
      </c>
      <c r="E35" s="245">
        <v>45931</v>
      </c>
      <c r="F35" s="128" t="s">
        <v>79</v>
      </c>
      <c r="G35" s="123" t="s">
        <v>87</v>
      </c>
      <c r="H35" s="127" t="s">
        <v>92</v>
      </c>
    </row>
    <row r="36" spans="1:8" ht="15.75">
      <c r="A36" s="127">
        <v>260334</v>
      </c>
      <c r="B36" s="239" t="s">
        <v>126</v>
      </c>
      <c r="C36" s="239" t="s">
        <v>176</v>
      </c>
      <c r="D36" s="125" t="s">
        <v>78</v>
      </c>
      <c r="E36" s="245">
        <v>45962</v>
      </c>
      <c r="F36" s="128" t="s">
        <v>197</v>
      </c>
      <c r="G36" s="123" t="s">
        <v>87</v>
      </c>
      <c r="H36" s="127" t="s">
        <v>89</v>
      </c>
    </row>
    <row r="37" spans="1:8" ht="15.75">
      <c r="A37" s="127">
        <v>260335</v>
      </c>
      <c r="B37" s="239" t="s">
        <v>127</v>
      </c>
      <c r="C37" s="239" t="s">
        <v>177</v>
      </c>
      <c r="D37" s="125" t="s">
        <v>78</v>
      </c>
      <c r="E37" s="245">
        <v>45986</v>
      </c>
      <c r="F37" s="128" t="s">
        <v>80</v>
      </c>
      <c r="G37" s="123" t="s">
        <v>87</v>
      </c>
      <c r="H37" s="127" t="s">
        <v>89</v>
      </c>
    </row>
    <row r="38" spans="1:8" ht="15.75">
      <c r="A38" s="127">
        <v>260336</v>
      </c>
      <c r="B38" s="239" t="s">
        <v>128</v>
      </c>
      <c r="C38" s="239" t="s">
        <v>177</v>
      </c>
      <c r="D38" s="125" t="s">
        <v>78</v>
      </c>
      <c r="E38" s="245">
        <v>45992</v>
      </c>
      <c r="F38" s="128" t="s">
        <v>80</v>
      </c>
      <c r="G38" s="123" t="s">
        <v>87</v>
      </c>
      <c r="H38" s="127" t="s">
        <v>89</v>
      </c>
    </row>
    <row r="39" spans="1:8" ht="15.75">
      <c r="A39" s="127">
        <v>260337</v>
      </c>
      <c r="B39" s="239" t="s">
        <v>129</v>
      </c>
      <c r="C39" s="239" t="s">
        <v>177</v>
      </c>
      <c r="D39" s="125" t="s">
        <v>78</v>
      </c>
      <c r="E39" s="245">
        <v>45992</v>
      </c>
      <c r="F39" s="128" t="s">
        <v>80</v>
      </c>
      <c r="G39" s="123" t="s">
        <v>87</v>
      </c>
      <c r="H39" s="127" t="s">
        <v>89</v>
      </c>
    </row>
    <row r="40" spans="1:8" ht="15.75">
      <c r="A40" s="127">
        <v>260338</v>
      </c>
      <c r="B40" s="239" t="s">
        <v>130</v>
      </c>
      <c r="C40" s="239" t="s">
        <v>171</v>
      </c>
      <c r="D40" s="125" t="s">
        <v>78</v>
      </c>
      <c r="E40" s="245">
        <v>45992</v>
      </c>
      <c r="F40" s="128" t="s">
        <v>198</v>
      </c>
      <c r="G40" s="123" t="s">
        <v>87</v>
      </c>
      <c r="H40" s="127" t="s">
        <v>89</v>
      </c>
    </row>
    <row r="41" spans="1:8" ht="15.75">
      <c r="A41" s="127">
        <v>260339</v>
      </c>
      <c r="B41" s="239" t="s">
        <v>131</v>
      </c>
      <c r="C41" s="239" t="s">
        <v>177</v>
      </c>
      <c r="D41" s="125" t="s">
        <v>78</v>
      </c>
      <c r="E41" s="245">
        <v>45995</v>
      </c>
      <c r="F41" s="128" t="s">
        <v>80</v>
      </c>
      <c r="G41" s="123" t="s">
        <v>87</v>
      </c>
      <c r="H41" s="127" t="s">
        <v>89</v>
      </c>
    </row>
    <row r="42" spans="1:8" ht="15.75">
      <c r="A42" s="127">
        <v>260340</v>
      </c>
      <c r="B42" s="239" t="s">
        <v>132</v>
      </c>
      <c r="C42" s="239" t="s">
        <v>177</v>
      </c>
      <c r="D42" s="125" t="s">
        <v>78</v>
      </c>
      <c r="E42" s="245">
        <v>46007</v>
      </c>
      <c r="F42" s="128" t="s">
        <v>80</v>
      </c>
      <c r="G42" s="123" t="s">
        <v>87</v>
      </c>
      <c r="H42" s="127" t="s">
        <v>89</v>
      </c>
    </row>
    <row r="43" spans="1:8" ht="15.75">
      <c r="A43" s="127">
        <v>260341</v>
      </c>
      <c r="B43" s="239" t="s">
        <v>133</v>
      </c>
      <c r="C43" s="239" t="s">
        <v>179</v>
      </c>
      <c r="D43" s="125" t="s">
        <v>78</v>
      </c>
      <c r="E43" s="245">
        <v>46041</v>
      </c>
      <c r="F43" s="128" t="s">
        <v>45</v>
      </c>
      <c r="G43" s="123" t="s">
        <v>87</v>
      </c>
      <c r="H43" s="127" t="s">
        <v>89</v>
      </c>
    </row>
    <row r="44" spans="1:8" ht="15.75">
      <c r="A44" s="127">
        <v>260342</v>
      </c>
      <c r="B44" s="239" t="s">
        <v>134</v>
      </c>
      <c r="C44" s="239" t="s">
        <v>180</v>
      </c>
      <c r="D44" s="125" t="s">
        <v>78</v>
      </c>
      <c r="E44" s="245">
        <v>46007</v>
      </c>
      <c r="F44" s="128" t="s">
        <v>197</v>
      </c>
      <c r="G44" s="123" t="s">
        <v>87</v>
      </c>
      <c r="H44" s="127" t="s">
        <v>89</v>
      </c>
    </row>
    <row r="45" spans="1:8" ht="15.75">
      <c r="A45" s="127">
        <v>260343</v>
      </c>
      <c r="B45" s="239" t="s">
        <v>135</v>
      </c>
      <c r="C45" s="239" t="s">
        <v>171</v>
      </c>
      <c r="D45" s="125" t="s">
        <v>78</v>
      </c>
      <c r="E45" s="245">
        <v>46042</v>
      </c>
      <c r="F45" s="128" t="s">
        <v>198</v>
      </c>
      <c r="G45" s="123" t="s">
        <v>87</v>
      </c>
      <c r="H45" s="127" t="s">
        <v>89</v>
      </c>
    </row>
    <row r="46" spans="1:8" ht="15.75">
      <c r="A46" s="127">
        <v>260344</v>
      </c>
      <c r="B46" s="239" t="s">
        <v>136</v>
      </c>
      <c r="C46" s="239" t="s">
        <v>181</v>
      </c>
      <c r="D46" s="125" t="s">
        <v>78</v>
      </c>
      <c r="E46" s="245">
        <v>46034</v>
      </c>
      <c r="F46" s="128" t="s">
        <v>82</v>
      </c>
      <c r="G46" s="123" t="s">
        <v>87</v>
      </c>
      <c r="H46" s="127" t="s">
        <v>89</v>
      </c>
    </row>
    <row r="47" spans="1:8" ht="15.75">
      <c r="A47" s="127">
        <v>260345</v>
      </c>
      <c r="B47" s="239" t="s">
        <v>137</v>
      </c>
      <c r="C47" s="239" t="s">
        <v>182</v>
      </c>
      <c r="D47" s="125" t="s">
        <v>78</v>
      </c>
      <c r="E47" s="245">
        <v>46043</v>
      </c>
      <c r="F47" s="128" t="s">
        <v>81</v>
      </c>
      <c r="G47" s="123" t="s">
        <v>87</v>
      </c>
      <c r="H47" s="127" t="s">
        <v>89</v>
      </c>
    </row>
    <row r="48" spans="1:8" ht="15.75">
      <c r="A48" s="127">
        <v>260346</v>
      </c>
      <c r="B48" s="239" t="s">
        <v>138</v>
      </c>
      <c r="C48" s="239" t="s">
        <v>183</v>
      </c>
      <c r="D48" s="125" t="s">
        <v>78</v>
      </c>
      <c r="E48" s="245">
        <v>46027</v>
      </c>
      <c r="F48" s="128" t="s">
        <v>199</v>
      </c>
      <c r="G48" s="123" t="s">
        <v>87</v>
      </c>
      <c r="H48" s="127" t="s">
        <v>89</v>
      </c>
    </row>
    <row r="49" spans="1:8" ht="15.75">
      <c r="A49" s="127">
        <v>260347</v>
      </c>
      <c r="B49" s="246" t="s">
        <v>139</v>
      </c>
      <c r="C49" s="246" t="s">
        <v>184</v>
      </c>
      <c r="D49" s="125" t="s">
        <v>78</v>
      </c>
      <c r="E49" s="247">
        <v>45341</v>
      </c>
      <c r="F49" s="128" t="s">
        <v>86</v>
      </c>
      <c r="G49" s="123" t="s">
        <v>87</v>
      </c>
      <c r="H49" s="127" t="s">
        <v>89</v>
      </c>
    </row>
    <row r="50" spans="1:8" ht="15.75">
      <c r="A50" s="127">
        <v>260348</v>
      </c>
      <c r="B50" s="246" t="s">
        <v>140</v>
      </c>
      <c r="C50" s="246" t="s">
        <v>179</v>
      </c>
      <c r="D50" s="125" t="s">
        <v>78</v>
      </c>
      <c r="E50" s="247">
        <v>45677</v>
      </c>
      <c r="F50" s="128" t="s">
        <v>45</v>
      </c>
      <c r="G50" s="123" t="s">
        <v>87</v>
      </c>
      <c r="H50" s="127" t="s">
        <v>89</v>
      </c>
    </row>
    <row r="51" spans="1:8" ht="15.75">
      <c r="A51" s="127">
        <v>260349</v>
      </c>
      <c r="B51" s="241" t="s">
        <v>141</v>
      </c>
      <c r="C51" s="244" t="s">
        <v>185</v>
      </c>
      <c r="D51" s="125" t="s">
        <v>78</v>
      </c>
      <c r="E51" s="244" t="s">
        <v>190</v>
      </c>
      <c r="F51" s="128" t="s">
        <v>199</v>
      </c>
      <c r="G51" s="123" t="s">
        <v>87</v>
      </c>
      <c r="H51" s="127" t="s">
        <v>89</v>
      </c>
    </row>
    <row r="52" spans="1:8" ht="15.75">
      <c r="A52" s="127">
        <v>260350</v>
      </c>
      <c r="B52" s="242" t="s">
        <v>142</v>
      </c>
      <c r="C52" s="239" t="s">
        <v>83</v>
      </c>
      <c r="D52" s="125" t="s">
        <v>78</v>
      </c>
      <c r="E52" s="239" t="s">
        <v>192</v>
      </c>
      <c r="F52" s="128" t="s">
        <v>197</v>
      </c>
      <c r="G52" s="123" t="s">
        <v>87</v>
      </c>
      <c r="H52" s="127" t="s">
        <v>89</v>
      </c>
    </row>
    <row r="53" spans="1:8" ht="15.75">
      <c r="A53" s="127">
        <v>260351</v>
      </c>
      <c r="B53" s="239" t="s">
        <v>143</v>
      </c>
      <c r="C53" s="239" t="s">
        <v>186</v>
      </c>
      <c r="D53" s="125" t="s">
        <v>78</v>
      </c>
      <c r="E53" s="239" t="s">
        <v>191</v>
      </c>
      <c r="F53" s="128" t="s">
        <v>199</v>
      </c>
      <c r="G53" s="123" t="s">
        <v>87</v>
      </c>
      <c r="H53" s="127" t="s">
        <v>89</v>
      </c>
    </row>
    <row r="54" spans="1:8" ht="15.75">
      <c r="A54" s="127">
        <v>260352</v>
      </c>
      <c r="B54" s="127" t="s">
        <v>144</v>
      </c>
      <c r="C54" s="239" t="s">
        <v>187</v>
      </c>
      <c r="D54" s="125" t="s">
        <v>78</v>
      </c>
      <c r="E54" s="239" t="s">
        <v>193</v>
      </c>
      <c r="F54" s="128" t="s">
        <v>199</v>
      </c>
      <c r="G54" s="123" t="s">
        <v>87</v>
      </c>
      <c r="H54" s="127" t="s">
        <v>89</v>
      </c>
    </row>
    <row r="55" spans="1:8" ht="15.75">
      <c r="A55" s="127">
        <v>260353</v>
      </c>
      <c r="B55" s="243" t="s">
        <v>145</v>
      </c>
      <c r="C55" s="239" t="s">
        <v>178</v>
      </c>
      <c r="D55" s="125" t="s">
        <v>78</v>
      </c>
      <c r="E55" s="239" t="s">
        <v>193</v>
      </c>
      <c r="F55" s="128" t="s">
        <v>79</v>
      </c>
      <c r="G55" s="123" t="s">
        <v>87</v>
      </c>
      <c r="H55" s="127" t="s">
        <v>89</v>
      </c>
    </row>
    <row r="56" spans="1:8" ht="15.75">
      <c r="A56" s="127">
        <v>260354</v>
      </c>
      <c r="B56" s="252" t="s">
        <v>200</v>
      </c>
      <c r="C56" s="254" t="s">
        <v>231</v>
      </c>
      <c r="D56" s="125" t="s">
        <v>78</v>
      </c>
      <c r="E56" s="252" t="s">
        <v>243</v>
      </c>
      <c r="F56" s="2" t="s">
        <v>271</v>
      </c>
      <c r="G56" s="255" t="s">
        <v>88</v>
      </c>
      <c r="H56" s="127" t="s">
        <v>89</v>
      </c>
    </row>
    <row r="57" spans="1:8" ht="15.75">
      <c r="A57" s="127">
        <v>260355</v>
      </c>
      <c r="B57" s="253" t="s">
        <v>77</v>
      </c>
      <c r="C57" s="240" t="s">
        <v>232</v>
      </c>
      <c r="D57" s="125" t="s">
        <v>78</v>
      </c>
      <c r="E57" s="253" t="s">
        <v>244</v>
      </c>
      <c r="F57" s="2" t="s">
        <v>271</v>
      </c>
      <c r="G57" s="255" t="s">
        <v>88</v>
      </c>
      <c r="H57" s="127" t="s">
        <v>89</v>
      </c>
    </row>
    <row r="58" spans="1:8" ht="15.75">
      <c r="A58" s="127">
        <v>260356</v>
      </c>
      <c r="B58" s="253" t="s">
        <v>201</v>
      </c>
      <c r="C58" s="240" t="s">
        <v>233</v>
      </c>
      <c r="D58" s="125" t="s">
        <v>78</v>
      </c>
      <c r="E58" s="253" t="s">
        <v>245</v>
      </c>
      <c r="F58" s="2" t="s">
        <v>271</v>
      </c>
      <c r="G58" s="255" t="s">
        <v>88</v>
      </c>
      <c r="H58" s="127" t="s">
        <v>89</v>
      </c>
    </row>
    <row r="59" spans="1:8" ht="15.75">
      <c r="A59" s="127">
        <v>260357</v>
      </c>
      <c r="B59" s="253" t="s">
        <v>202</v>
      </c>
      <c r="C59" s="240" t="s">
        <v>234</v>
      </c>
      <c r="D59" s="125" t="s">
        <v>78</v>
      </c>
      <c r="E59" s="253" t="s">
        <v>246</v>
      </c>
      <c r="F59" s="2" t="s">
        <v>271</v>
      </c>
      <c r="G59" s="255" t="s">
        <v>88</v>
      </c>
      <c r="H59" s="127" t="s">
        <v>89</v>
      </c>
    </row>
    <row r="60" spans="1:8" ht="15.75">
      <c r="A60" s="127">
        <v>260358</v>
      </c>
      <c r="B60" s="253" t="s">
        <v>203</v>
      </c>
      <c r="C60" s="240" t="s">
        <v>235</v>
      </c>
      <c r="D60" s="125" t="s">
        <v>78</v>
      </c>
      <c r="E60" s="253" t="s">
        <v>247</v>
      </c>
      <c r="F60" s="2" t="s">
        <v>271</v>
      </c>
      <c r="G60" s="255" t="s">
        <v>88</v>
      </c>
      <c r="H60" s="127" t="s">
        <v>89</v>
      </c>
    </row>
    <row r="61" spans="1:8" ht="15.75">
      <c r="A61" s="127">
        <v>260359</v>
      </c>
      <c r="B61" s="253" t="s">
        <v>204</v>
      </c>
      <c r="C61" s="240" t="s">
        <v>233</v>
      </c>
      <c r="D61" s="125" t="s">
        <v>78</v>
      </c>
      <c r="E61" s="253" t="s">
        <v>248</v>
      </c>
      <c r="F61" s="2" t="s">
        <v>271</v>
      </c>
      <c r="G61" s="255" t="s">
        <v>88</v>
      </c>
      <c r="H61" s="127" t="s">
        <v>89</v>
      </c>
    </row>
    <row r="62" spans="1:8" ht="15.75">
      <c r="A62" s="127">
        <v>260360</v>
      </c>
      <c r="B62" s="253" t="s">
        <v>205</v>
      </c>
      <c r="C62" s="240" t="s">
        <v>236</v>
      </c>
      <c r="D62" s="125" t="s">
        <v>78</v>
      </c>
      <c r="E62" s="253" t="s">
        <v>249</v>
      </c>
      <c r="F62" s="2" t="s">
        <v>271</v>
      </c>
      <c r="G62" s="255" t="s">
        <v>88</v>
      </c>
      <c r="H62" s="127" t="s">
        <v>89</v>
      </c>
    </row>
    <row r="63" spans="1:8" ht="15.75">
      <c r="A63" s="127">
        <v>260361</v>
      </c>
      <c r="B63" s="253" t="s">
        <v>206</v>
      </c>
      <c r="C63" s="240" t="s">
        <v>85</v>
      </c>
      <c r="D63" s="125" t="s">
        <v>78</v>
      </c>
      <c r="E63" s="253" t="s">
        <v>250</v>
      </c>
      <c r="F63" s="2" t="s">
        <v>271</v>
      </c>
      <c r="G63" s="255" t="s">
        <v>88</v>
      </c>
      <c r="H63" s="127" t="s">
        <v>89</v>
      </c>
    </row>
    <row r="64" spans="1:8" ht="15.75">
      <c r="A64" s="127">
        <v>260362</v>
      </c>
      <c r="B64" s="253" t="s">
        <v>207</v>
      </c>
      <c r="C64" s="240" t="s">
        <v>237</v>
      </c>
      <c r="D64" s="125" t="s">
        <v>78</v>
      </c>
      <c r="E64" s="253" t="s">
        <v>251</v>
      </c>
      <c r="F64" s="2" t="s">
        <v>271</v>
      </c>
      <c r="G64" s="255" t="s">
        <v>88</v>
      </c>
      <c r="H64" s="127" t="s">
        <v>89</v>
      </c>
    </row>
    <row r="65" spans="1:8" ht="15.75">
      <c r="A65" s="127">
        <v>260363</v>
      </c>
      <c r="B65" s="253" t="s">
        <v>208</v>
      </c>
      <c r="C65" s="240" t="s">
        <v>237</v>
      </c>
      <c r="D65" s="125" t="s">
        <v>78</v>
      </c>
      <c r="E65" s="253" t="s">
        <v>251</v>
      </c>
      <c r="F65" s="2" t="s">
        <v>271</v>
      </c>
      <c r="G65" s="255" t="s">
        <v>88</v>
      </c>
      <c r="H65" s="127" t="s">
        <v>89</v>
      </c>
    </row>
    <row r="66" spans="1:8" ht="15.75">
      <c r="A66" s="127">
        <v>260364</v>
      </c>
      <c r="B66" s="253" t="s">
        <v>209</v>
      </c>
      <c r="C66" s="240" t="s">
        <v>238</v>
      </c>
      <c r="D66" s="125" t="s">
        <v>78</v>
      </c>
      <c r="E66" s="253" t="s">
        <v>252</v>
      </c>
      <c r="F66" s="2" t="s">
        <v>271</v>
      </c>
      <c r="G66" s="255" t="s">
        <v>88</v>
      </c>
      <c r="H66" s="127" t="s">
        <v>89</v>
      </c>
    </row>
    <row r="67" spans="1:8" ht="15.75">
      <c r="A67" s="127">
        <v>260365</v>
      </c>
      <c r="B67" s="253" t="s">
        <v>210</v>
      </c>
      <c r="C67" s="240" t="s">
        <v>233</v>
      </c>
      <c r="D67" s="125" t="s">
        <v>78</v>
      </c>
      <c r="E67" s="253" t="s">
        <v>253</v>
      </c>
      <c r="F67" s="2" t="s">
        <v>271</v>
      </c>
      <c r="G67" s="255" t="s">
        <v>88</v>
      </c>
      <c r="H67" s="127" t="s">
        <v>89</v>
      </c>
    </row>
    <row r="68" spans="1:8" ht="15.75">
      <c r="A68" s="127">
        <v>260366</v>
      </c>
      <c r="B68" s="253" t="s">
        <v>211</v>
      </c>
      <c r="C68" s="240" t="s">
        <v>239</v>
      </c>
      <c r="D68" s="125" t="s">
        <v>78</v>
      </c>
      <c r="E68" s="253" t="s">
        <v>254</v>
      </c>
      <c r="F68" s="2" t="s">
        <v>271</v>
      </c>
      <c r="G68" s="255" t="s">
        <v>88</v>
      </c>
      <c r="H68" s="127" t="s">
        <v>89</v>
      </c>
    </row>
    <row r="69" spans="1:8" ht="15.75">
      <c r="A69" s="127">
        <v>260367</v>
      </c>
      <c r="B69" s="253" t="s">
        <v>212</v>
      </c>
      <c r="C69" s="240" t="s">
        <v>239</v>
      </c>
      <c r="D69" s="125" t="s">
        <v>78</v>
      </c>
      <c r="E69" s="253" t="s">
        <v>255</v>
      </c>
      <c r="F69" s="2" t="s">
        <v>271</v>
      </c>
      <c r="G69" s="255" t="s">
        <v>88</v>
      </c>
      <c r="H69" s="127" t="s">
        <v>89</v>
      </c>
    </row>
    <row r="70" spans="1:8" ht="15.75">
      <c r="A70" s="127">
        <v>260368</v>
      </c>
      <c r="B70" s="253" t="s">
        <v>213</v>
      </c>
      <c r="C70" s="240" t="s">
        <v>239</v>
      </c>
      <c r="D70" s="125" t="s">
        <v>78</v>
      </c>
      <c r="E70" s="253" t="s">
        <v>256</v>
      </c>
      <c r="F70" s="2" t="s">
        <v>271</v>
      </c>
      <c r="G70" s="255" t="s">
        <v>88</v>
      </c>
      <c r="H70" s="127" t="s">
        <v>89</v>
      </c>
    </row>
    <row r="71" spans="1:8" ht="15.75">
      <c r="A71" s="127">
        <v>260369</v>
      </c>
      <c r="B71" s="253" t="s">
        <v>214</v>
      </c>
      <c r="C71" s="240" t="s">
        <v>239</v>
      </c>
      <c r="D71" s="125" t="s">
        <v>78</v>
      </c>
      <c r="E71" s="253" t="s">
        <v>257</v>
      </c>
      <c r="F71" s="2" t="s">
        <v>271</v>
      </c>
      <c r="G71" s="255" t="s">
        <v>88</v>
      </c>
      <c r="H71" s="127" t="s">
        <v>89</v>
      </c>
    </row>
    <row r="72" spans="1:8" ht="15.75">
      <c r="A72" s="127">
        <v>260370</v>
      </c>
      <c r="B72" s="253" t="s">
        <v>215</v>
      </c>
      <c r="C72" s="240" t="s">
        <v>239</v>
      </c>
      <c r="D72" s="125" t="s">
        <v>78</v>
      </c>
      <c r="E72" s="253" t="s">
        <v>258</v>
      </c>
      <c r="F72" s="2" t="s">
        <v>271</v>
      </c>
      <c r="G72" s="255" t="s">
        <v>88</v>
      </c>
      <c r="H72" s="127" t="s">
        <v>89</v>
      </c>
    </row>
    <row r="73" spans="1:8" ht="15.75">
      <c r="A73" s="127">
        <v>260371</v>
      </c>
      <c r="B73" s="253" t="s">
        <v>216</v>
      </c>
      <c r="C73" s="240" t="s">
        <v>239</v>
      </c>
      <c r="D73" s="125" t="s">
        <v>78</v>
      </c>
      <c r="E73" s="253" t="s">
        <v>257</v>
      </c>
      <c r="F73" s="2" t="s">
        <v>271</v>
      </c>
      <c r="G73" s="255" t="s">
        <v>88</v>
      </c>
      <c r="H73" s="127" t="s">
        <v>89</v>
      </c>
    </row>
    <row r="74" spans="1:8" ht="15.75">
      <c r="A74" s="127">
        <v>260372</v>
      </c>
      <c r="B74" s="253" t="s">
        <v>217</v>
      </c>
      <c r="C74" s="240" t="s">
        <v>239</v>
      </c>
      <c r="D74" s="125" t="s">
        <v>78</v>
      </c>
      <c r="E74" s="253" t="s">
        <v>259</v>
      </c>
      <c r="F74" s="2" t="s">
        <v>271</v>
      </c>
      <c r="G74" s="255" t="s">
        <v>88</v>
      </c>
      <c r="H74" s="127" t="s">
        <v>89</v>
      </c>
    </row>
    <row r="75" spans="1:8" ht="15.75">
      <c r="A75" s="127">
        <v>260373</v>
      </c>
      <c r="B75" s="253" t="s">
        <v>218</v>
      </c>
      <c r="C75" s="240" t="s">
        <v>239</v>
      </c>
      <c r="D75" s="125" t="s">
        <v>78</v>
      </c>
      <c r="E75" s="253" t="s">
        <v>260</v>
      </c>
      <c r="F75" s="2" t="s">
        <v>271</v>
      </c>
      <c r="G75" s="255" t="s">
        <v>88</v>
      </c>
      <c r="H75" s="127" t="s">
        <v>89</v>
      </c>
    </row>
    <row r="76" spans="1:8" ht="15.75">
      <c r="A76" s="127">
        <v>260374</v>
      </c>
      <c r="B76" s="253" t="s">
        <v>219</v>
      </c>
      <c r="C76" s="240" t="s">
        <v>239</v>
      </c>
      <c r="D76" s="125" t="s">
        <v>78</v>
      </c>
      <c r="E76" s="253" t="s">
        <v>261</v>
      </c>
      <c r="F76" s="2" t="s">
        <v>271</v>
      </c>
      <c r="G76" s="255" t="s">
        <v>88</v>
      </c>
      <c r="H76" s="127" t="s">
        <v>89</v>
      </c>
    </row>
    <row r="77" spans="1:8" ht="15.75">
      <c r="A77" s="127">
        <v>260375</v>
      </c>
      <c r="B77" s="253" t="s">
        <v>220</v>
      </c>
      <c r="C77" s="240" t="s">
        <v>239</v>
      </c>
      <c r="D77" s="125" t="s">
        <v>78</v>
      </c>
      <c r="E77" s="253" t="s">
        <v>262</v>
      </c>
      <c r="F77" s="2" t="s">
        <v>271</v>
      </c>
      <c r="G77" s="255" t="s">
        <v>88</v>
      </c>
      <c r="H77" s="127" t="s">
        <v>89</v>
      </c>
    </row>
    <row r="78" spans="1:8" ht="15.75">
      <c r="A78" s="127">
        <v>260376</v>
      </c>
      <c r="B78" s="253" t="s">
        <v>221</v>
      </c>
      <c r="C78" s="240" t="s">
        <v>239</v>
      </c>
      <c r="D78" s="125" t="s">
        <v>78</v>
      </c>
      <c r="E78" s="253" t="s">
        <v>263</v>
      </c>
      <c r="F78" s="2" t="s">
        <v>271</v>
      </c>
      <c r="G78" s="255" t="s">
        <v>88</v>
      </c>
      <c r="H78" s="127" t="s">
        <v>89</v>
      </c>
    </row>
    <row r="79" spans="1:8" ht="15.75">
      <c r="A79" s="127">
        <v>260377</v>
      </c>
      <c r="B79" s="253" t="s">
        <v>222</v>
      </c>
      <c r="C79" s="240" t="s">
        <v>239</v>
      </c>
      <c r="D79" s="125" t="s">
        <v>78</v>
      </c>
      <c r="E79" s="253" t="s">
        <v>264</v>
      </c>
      <c r="F79" s="2" t="s">
        <v>271</v>
      </c>
      <c r="G79" s="255" t="s">
        <v>88</v>
      </c>
      <c r="H79" s="127" t="s">
        <v>89</v>
      </c>
    </row>
    <row r="80" spans="1:8" ht="15.75">
      <c r="A80" s="127">
        <v>260378</v>
      </c>
      <c r="B80" s="253" t="s">
        <v>223</v>
      </c>
      <c r="C80" s="240" t="s">
        <v>239</v>
      </c>
      <c r="D80" s="125" t="s">
        <v>78</v>
      </c>
      <c r="E80" s="253" t="s">
        <v>265</v>
      </c>
      <c r="F80" s="2" t="s">
        <v>271</v>
      </c>
      <c r="G80" s="255" t="s">
        <v>88</v>
      </c>
      <c r="H80" s="127" t="s">
        <v>89</v>
      </c>
    </row>
    <row r="81" spans="1:8" ht="15.75">
      <c r="A81" s="127">
        <v>260379</v>
      </c>
      <c r="B81" s="253" t="s">
        <v>224</v>
      </c>
      <c r="C81" s="240" t="s">
        <v>239</v>
      </c>
      <c r="D81" s="125" t="s">
        <v>78</v>
      </c>
      <c r="E81" s="253" t="s">
        <v>266</v>
      </c>
      <c r="F81" s="2" t="s">
        <v>271</v>
      </c>
      <c r="G81" s="255" t="s">
        <v>88</v>
      </c>
      <c r="H81" s="127" t="s">
        <v>89</v>
      </c>
    </row>
    <row r="82" spans="1:8" ht="15.75">
      <c r="A82" s="127">
        <v>260380</v>
      </c>
      <c r="B82" s="253" t="s">
        <v>225</v>
      </c>
      <c r="C82" s="240" t="s">
        <v>239</v>
      </c>
      <c r="D82" s="125" t="s">
        <v>78</v>
      </c>
      <c r="E82" s="253" t="s">
        <v>267</v>
      </c>
      <c r="F82" s="2" t="s">
        <v>271</v>
      </c>
      <c r="G82" s="255" t="s">
        <v>88</v>
      </c>
      <c r="H82" s="127" t="s">
        <v>89</v>
      </c>
    </row>
    <row r="83" spans="1:8" ht="15.75">
      <c r="A83" s="127">
        <v>260381</v>
      </c>
      <c r="B83" s="253" t="s">
        <v>226</v>
      </c>
      <c r="C83" s="240" t="s">
        <v>239</v>
      </c>
      <c r="D83" s="125" t="s">
        <v>78</v>
      </c>
      <c r="E83" s="253" t="s">
        <v>265</v>
      </c>
      <c r="F83" s="2" t="s">
        <v>271</v>
      </c>
      <c r="G83" s="255" t="s">
        <v>88</v>
      </c>
      <c r="H83" s="127" t="s">
        <v>89</v>
      </c>
    </row>
    <row r="84" spans="1:8" ht="15.75">
      <c r="A84" s="127">
        <v>260382</v>
      </c>
      <c r="B84" s="253" t="s">
        <v>227</v>
      </c>
      <c r="C84" s="240" t="s">
        <v>240</v>
      </c>
      <c r="D84" s="125" t="s">
        <v>78</v>
      </c>
      <c r="E84" s="253" t="s">
        <v>268</v>
      </c>
      <c r="F84" s="2" t="s">
        <v>271</v>
      </c>
      <c r="G84" s="255" t="s">
        <v>88</v>
      </c>
      <c r="H84" s="127" t="s">
        <v>89</v>
      </c>
    </row>
    <row r="85" spans="1:8" ht="15.75">
      <c r="A85" s="256">
        <v>260383</v>
      </c>
      <c r="B85" s="257" t="s">
        <v>228</v>
      </c>
      <c r="C85" s="258" t="s">
        <v>239</v>
      </c>
      <c r="D85" s="259" t="s">
        <v>78</v>
      </c>
      <c r="E85" s="257" t="s">
        <v>269</v>
      </c>
      <c r="F85" s="2" t="s">
        <v>271</v>
      </c>
      <c r="G85" s="255" t="s">
        <v>88</v>
      </c>
      <c r="H85" s="256" t="s">
        <v>89</v>
      </c>
    </row>
    <row r="86" spans="1:8" ht="15.75">
      <c r="A86" s="127">
        <v>260384</v>
      </c>
      <c r="B86" s="253" t="s">
        <v>229</v>
      </c>
      <c r="C86" s="240" t="s">
        <v>241</v>
      </c>
      <c r="D86" s="125" t="s">
        <v>78</v>
      </c>
      <c r="E86" s="253" t="s">
        <v>270</v>
      </c>
      <c r="F86" s="128" t="s">
        <v>271</v>
      </c>
      <c r="G86" s="260" t="s">
        <v>88</v>
      </c>
      <c r="H86" s="127" t="s">
        <v>89</v>
      </c>
    </row>
    <row r="87" spans="1:8" ht="15.75">
      <c r="A87" s="127">
        <v>260385</v>
      </c>
      <c r="B87" s="253" t="s">
        <v>230</v>
      </c>
      <c r="C87" s="240" t="s">
        <v>242</v>
      </c>
      <c r="D87" s="125" t="s">
        <v>78</v>
      </c>
      <c r="E87" s="261">
        <v>46054</v>
      </c>
      <c r="F87" s="128" t="s">
        <v>271</v>
      </c>
      <c r="G87" s="260" t="s">
        <v>88</v>
      </c>
      <c r="H87" s="127" t="s">
        <v>89</v>
      </c>
    </row>
  </sheetData>
  <conditionalFormatting sqref="B3:B55">
    <cfRule type="duplicateValues" dxfId="5" priority="303"/>
  </conditionalFormatting>
  <conditionalFormatting sqref="A88:B1048576 A1:B2">
    <cfRule type="duplicateValues" dxfId="4" priority="304"/>
  </conditionalFormatting>
  <conditionalFormatting sqref="A3:A87">
    <cfRule type="duplicateValues" dxfId="2" priority="309"/>
  </conditionalFormatting>
  <conditionalFormatting sqref="B56:B87">
    <cfRule type="duplicateValues" dxfId="3" priority="3"/>
  </conditionalFormatting>
  <conditionalFormatting sqref="E56:E87">
    <cfRule type="duplicateValues" dxfId="1" priority="1"/>
    <cfRule type="duplicateValues" dxfId="0"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Appraisal Form - NETS KHLC</vt: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Femi</dc:creator>
  <cp:lastModifiedBy>DELL</cp:lastModifiedBy>
  <cp:lastPrinted>2022-03-05T13:11:32Z</cp:lastPrinted>
  <dcterms:created xsi:type="dcterms:W3CDTF">2022-02-26T15:59:18Z</dcterms:created>
  <dcterms:modified xsi:type="dcterms:W3CDTF">2026-03-31T16:11:27Z</dcterms:modified>
</cp:coreProperties>
</file>